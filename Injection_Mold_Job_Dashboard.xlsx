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New Tooling Jobs" sheetId="2" state="visible" r:id="rId2"/>
    <sheet name="Reorders" sheetId="3" state="visible" r:id="rId3"/>
    <sheet name="Customers" sheetId="4" state="visible" r:id="rId4"/>
    <sheet name="Molders" sheetId="5" state="visible" r:id="rId5"/>
    <sheet name="Mold Registry" sheetId="6" state="visible" r:id="rId6"/>
    <sheet name="Production Log" sheetId="7" state="visible" r:id="rId7"/>
  </sheets>
  <definedNames>
    <definedName name="CustomerList" hidden="0" function="0" vbProcedure="0">Customers!$B$2:$B$1000</definedName>
    <definedName name="MolderList" hidden="0" function="0" vbProcedure="0">Molders!$B$2:$B$1000</definedName>
    <definedName name="MoldList" hidden="0" function="0" vbProcedure="0">'Mold Registry'!$A$2:$A$1000</definedName>
    <definedName name="_xlnm._FilterDatabase" localSheetId="0" hidden="1">'Dashboard'!$A$9:$G$111</definedName>
    <definedName name="_xlnm._FilterDatabase" localSheetId="1" hidden="1">'New Tooling Jobs'!$A$12:$V$62</definedName>
    <definedName name="_xlnm._FilterDatabase" localSheetId="2" hidden="1">'Reorders'!$A$12:$R$62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mm/dd/yyyy"/>
    <numFmt numFmtId="166" formatCode="0;\(0\);\-"/>
    <numFmt numFmtId="167" formatCode="\$#,##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8"/>
    </font>
    <font>
      <name val="Arial"/>
      <charset val="1"/>
      <family val="0"/>
      <i val="1"/>
      <color rgb="FF595959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2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2"/>
    </font>
    <font>
      <name val="Arial"/>
      <charset val="1"/>
      <family val="0"/>
      <sz val="10"/>
    </font>
  </fonts>
  <fills count="7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99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9C0006"/>
      </patternFill>
    </fill>
    <fill>
      <patternFill patternType="solid">
        <fgColor rgb="FFD9E1F2"/>
        <bgColor rgb="FFDDEB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0" borderId="6" pivotButton="0" quotePrefix="0" xfId="0"/>
    <xf numFmtId="164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6" fontId="11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B4A7D6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ont>
        <name val="Arial"/>
        <charset val="1"/>
        <family val="0"/>
        <color rgb="FFFFFFFF"/>
        <sz val="10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diagonal/>
      </border>
    </dxf>
    <dxf>
      <font>
        <name val="Arial"/>
        <charset val="1"/>
        <family val="0"/>
        <color rgb="FF595959"/>
        <sz val="10"/>
      </font>
      <fill>
        <patternFill>
          <bgColor rgb="FFEDEDED"/>
        </patternFill>
      </fill>
    </dxf>
    <dxf>
      <fill>
        <patternFill>
          <bgColor rgb="FFDDEBF7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>
          <bgColor rgb="FFA9D08E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ill>
        <patternFill>
          <bgColor rgb="FFB4A7D6"/>
        </patternFill>
      </fill>
    </dxf>
    <dxf>
      <fill>
        <patternFill>
          <bgColor rgb="FFD9D9D9"/>
        </patternFill>
      </fill>
    </dxf>
    <dxf>
      <fill>
        <patternFill patternType="solid">
          <fgColor rgb="FFFCE4E4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F2CC"/>
        </patternFill>
      </fill>
    </dxf>
    <dxf>
      <font>
        <name val="Arial"/>
        <charset val="1"/>
        <family val="0"/>
        <color rgb="FF375623"/>
        <sz val="10"/>
      </font>
      <fill>
        <patternFill>
          <bgColor rgb="FFE2EFDA"/>
        </patternFill>
      </fill>
    </dxf>
    <dxf>
      <fill>
        <patternFill>
          <bgColor rgb="FFFCE4E4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DEDED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D9D9D9"/>
      <rgbColor rgb="FF7030A0"/>
      <rgbColor rgb="FFFFF2CC"/>
      <rgbColor rgb="FFDDEBF7"/>
      <rgbColor rgb="FF660066"/>
      <rgbColor rgb="FFFFC7CE"/>
      <rgbColor rgb="FF0066CC"/>
      <rgbColor rgb="FFBDD7EE"/>
      <rgbColor rgb="FF000080"/>
      <rgbColor rgb="FFFF00FF"/>
      <rgbColor rgb="FFD9E1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C6E0B4"/>
      <rgbColor rgb="FFF4B084"/>
      <rgbColor rgb="FFB4A7D6"/>
      <rgbColor rgb="FFF4CCCC"/>
      <rgbColor rgb="FF2E75B6"/>
      <rgbColor rgb="FF33CCCC"/>
      <rgbColor rgb="FF99CC00"/>
      <rgbColor rgb="FFFCE4E4"/>
      <rgbColor rgb="FFBF8F00"/>
      <rgbColor rgb="FFFF6600"/>
      <rgbColor rgb="FF595959"/>
      <rgbColor rgb="FFA9D08E"/>
      <rgbColor rgb="FF1F3864"/>
      <rgbColor rgb="FF548235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H1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4" min="1" max="1"/>
    <col width="13" customWidth="1" style="24" min="2" max="2"/>
    <col width="24" customWidth="1" style="24" min="3" max="3"/>
    <col width="26" customWidth="1" style="24" min="4" max="4"/>
    <col width="15" customWidth="1" style="24" min="5" max="6"/>
    <col width="34" customWidth="1" style="24" min="7" max="7"/>
  </cols>
  <sheetData>
    <row r="1" ht="22.05" customHeight="1" s="25">
      <c r="A1" s="26" t="inlineStr">
        <is>
          <t>Injection Mold Job Dashboard</t>
        </is>
      </c>
    </row>
    <row r="2" ht="15" customHeight="1" s="25">
      <c r="A2" s="27" t="inlineStr">
        <is>
          <t>Combined view across New Tooling Jobs and Reorders. Click a tab below to edit underlying data.</t>
        </is>
      </c>
    </row>
    <row r="3" ht="15" customHeight="1" s="25">
      <c r="A3" s="28">
        <f>CONCATENATE("Last opened: ", TEXT(TODAY(),"dddd, mmmm d, yyyy"))</f>
        <v/>
      </c>
    </row>
    <row r="5" ht="21.75" customHeight="1" s="25">
      <c r="A5" s="29" t="inlineStr">
        <is>
          <t>Active Jobs</t>
        </is>
      </c>
      <c r="C5" s="30" t="inlineStr">
        <is>
          <t>New Tooling</t>
        </is>
      </c>
      <c r="E5" s="31" t="inlineStr">
        <is>
          <t>Reorders</t>
        </is>
      </c>
      <c r="G5" s="32" t="inlineStr">
        <is>
          <t>Overdue</t>
        </is>
      </c>
    </row>
    <row r="6" ht="37.5" customHeight="1" s="25">
      <c r="A6" s="33">
        <f>COUNTIFS('New Tooling Jobs'!A13:A62,"&lt;&gt;",'New Tooling Jobs'!E13:E62,"&lt;&gt;Completed",'New Tooling Jobs'!E13:E62,"&lt;&gt;")+COUNTIFS(Reorders!A13:A62,"&lt;&gt;",Reorders!E13:E62,"&lt;&gt;Completed",Reorders!E13:E62,"&lt;&gt;")</f>
        <v/>
      </c>
      <c r="C6" s="34">
        <f>COUNTIFS('New Tooling Jobs'!A13:A62,"&lt;&gt;",'New Tooling Jobs'!E13:E62,"&lt;&gt;Completed",'New Tooling Jobs'!E13:E62,"&lt;&gt;")</f>
        <v/>
      </c>
      <c r="E6" s="35">
        <f>COUNTIFS(Reorders!A13:A62,"&lt;&gt;",Reorders!E13:E62,"&lt;&gt;Completed",Reorders!E13:E62,"&lt;&gt;")</f>
        <v/>
      </c>
      <c r="G6" s="36">
        <f>SUMPRODUCT(('New Tooling Jobs'!X13:X62&lt;&gt;"")*(IFERROR('New Tooling Jobs'!X13:X62+0,99999)&lt;0)*('New Tooling Jobs'!E13:E62&lt;&gt;"Completed"))+SUMPRODUCT((Reorders!T13:T62&lt;&gt;"")*(IFERROR(Reorders!T13:T62+0,99999)&lt;0)*(Reorders!E13:E62&lt;&gt;"Completed"))</f>
        <v/>
      </c>
    </row>
    <row r="9" ht="30" customHeight="1" s="25">
      <c r="A9" s="37" t="inlineStr">
        <is>
          <t>Job #</t>
        </is>
      </c>
      <c r="B9" s="37" t="inlineStr">
        <is>
          <t>Job Type</t>
        </is>
      </c>
      <c r="C9" s="37" t="inlineStr">
        <is>
          <t>Customer</t>
        </is>
      </c>
      <c r="D9" s="37" t="inlineStr">
        <is>
          <t>Stage</t>
        </is>
      </c>
      <c r="E9" s="37" t="inlineStr">
        <is>
          <t>Customer PO #</t>
        </is>
      </c>
      <c r="F9" s="37" t="inlineStr">
        <is>
          <t>Molder PO #</t>
        </is>
      </c>
      <c r="G9" s="37" t="inlineStr">
        <is>
          <t>Next Action / Waiting On</t>
        </is>
      </c>
    </row>
    <row r="10" ht="21.75" customHeight="1" s="25">
      <c r="A10" s="38">
        <f>IFERROR(IF(1&lt;=COUNTIFS('New Tooling Jobs'!A$13:A$62,"&lt;&gt;",'New Tooling Jobs'!E$13:E$62,"&lt;&gt;Completed"),INDEX('New Tooling Jobs'!A$13:A$62,MATCH(1,'New Tooling Jobs'!AG$13:AG$62,0)),INDEX(Reorders!A$13:A$62,MATCH(1-COUNTIFS('New Tooling Jobs'!A$13:A$62,"&lt;&gt;",'New Tooling Jobs'!E$13:E$62,"&lt;&gt;Completed"),Reorders!AC$13:AC$62,0))),"")</f>
        <v/>
      </c>
      <c r="B10" s="39">
        <f>IFERROR(IF(1&lt;=COUNTIFS('New Tooling Jobs'!A$13:A$62,"&lt;&gt;",'New Tooling Jobs'!E$13:E$62,"&lt;&gt;Completed"),IF(INDEX('New Tooling Jobs'!A$13:A$62,MATCH(1,'New Tooling Jobs'!AG$13:AG$62,0))&lt;&gt;"","New Tooling",""),IF(INDEX(Reorders!A$13:A$62,MATCH(1-COUNTIFS('New Tooling Jobs'!A$13:A$62,"&lt;&gt;",'New Tooling Jobs'!E$13:E$62,"&lt;&gt;Completed"),Reorders!AC$13:AC$62,0))&lt;&gt;"","Reorder","")),"")</f>
        <v/>
      </c>
      <c r="C10" s="39">
        <f>IFERROR(IF(1&lt;=COUNTIFS('New Tooling Jobs'!A$13:A$62,"&lt;&gt;",'New Tooling Jobs'!E$13:E$62,"&lt;&gt;Completed"),INDEX('New Tooling Jobs'!B$13:B$62,MATCH(1,'New Tooling Jobs'!AG$13:AG$62,0)),INDEX(Reorders!B$13:B$62,MATCH(1-COUNTIFS('New Tooling Jobs'!A$13:A$62,"&lt;&gt;",'New Tooling Jobs'!E$13:E$62,"&lt;&gt;Completed"),Reorders!AC$13:AC$62,0))),"")</f>
        <v/>
      </c>
      <c r="D10" s="39">
        <f>IFERROR(IF(1&lt;=COUNTIFS('New Tooling Jobs'!A$13:A$62,"&lt;&gt;",'New Tooling Jobs'!E$13:E$62,"&lt;&gt;Completed"),INDEX('New Tooling Jobs'!E$13:E$62,MATCH(1,'New Tooling Jobs'!AG$13:AG$62,0)),INDEX(Reorders!E$13:E$62,MATCH(1-COUNTIFS('New Tooling Jobs'!A$13:A$62,"&lt;&gt;",'New Tooling Jobs'!E$13:E$62,"&lt;&gt;Completed"),Reorders!AC$13:AC$62,0))),"")</f>
        <v/>
      </c>
      <c r="E10" s="39">
        <f>IFERROR(IF(1&lt;=COUNTIFS('New Tooling Jobs'!A$13:A$62,"&lt;&gt;",'New Tooling Jobs'!E$13:E$62,"&lt;&gt;Completed"),INDEX('New Tooling Jobs'!G$13:G$62,MATCH(1,'New Tooling Jobs'!AG$13:AG$62,0)),INDEX(Reorders!G$13:G$62,MATCH(1-COUNTIFS('New Tooling Jobs'!A$13:A$62,"&lt;&gt;",'New Tooling Jobs'!E$13:E$62,"&lt;&gt;Completed"),Reorders!AC$13:AC$62,0))),"")</f>
        <v/>
      </c>
      <c r="F10" s="39">
        <f>IFERROR(IF(1&lt;=COUNTIFS('New Tooling Jobs'!A$13:A$62,"&lt;&gt;",'New Tooling Jobs'!E$13:E$62,"&lt;&gt;Completed"),INDEX('New Tooling Jobs'!H$13:H$62,MATCH(1,'New Tooling Jobs'!AG$13:AG$62,0)),INDEX(Reorders!H$13:H$62,MATCH(1-COUNTIFS('New Tooling Jobs'!A$13:A$62,"&lt;&gt;",'New Tooling Jobs'!E$13:E$62,"&lt;&gt;Completed"),Reorders!AC$13:AC$62,0))),"")</f>
        <v/>
      </c>
      <c r="G10" s="39">
        <f>IFERROR(IF(1&lt;=COUNTIFS('New Tooling Jobs'!A$13:A$62,"&lt;&gt;",'New Tooling Jobs'!E$13:E$62,"&lt;&gt;Completed"),INDEX('New Tooling Jobs'!I$13:I$62,MATCH(1,'New Tooling Jobs'!AG$13:AG$62,0)),INDEX(Reorders!I$13:I$62,MATCH(1-COUNTIFS('New Tooling Jobs'!A$13:A$62,"&lt;&gt;",'New Tooling Jobs'!E$13:E$62,"&lt;&gt;Completed"),Reorders!AC$13:AC$62,0))),"")</f>
        <v/>
      </c>
    </row>
    <row r="11" ht="15" customHeight="1" s="25">
      <c r="A11" s="40">
        <f>IFERROR(IF(2&lt;=COUNTIFS('New Tooling Jobs'!A$13:A$62,"&lt;&gt;",'New Tooling Jobs'!E$13:E$62,"&lt;&gt;Completed"),INDEX('New Tooling Jobs'!A$13:A$62,MATCH(2,'New Tooling Jobs'!AG$13:AG$62,0)),INDEX(Reorders!A$13:A$62,MATCH(2-COUNTIFS('New Tooling Jobs'!A$13:A$62,"&lt;&gt;",'New Tooling Jobs'!E$13:E$62,"&lt;&gt;Completed"),Reorders!AC$13:AC$62,0))),"")</f>
        <v/>
      </c>
      <c r="B11" s="40">
        <f>IFERROR(IF(2&lt;=COUNTIFS('New Tooling Jobs'!A$13:A$62,"&lt;&gt;",'New Tooling Jobs'!E$13:E$62,"&lt;&gt;Completed"),IF(INDEX('New Tooling Jobs'!A$13:A$62,MATCH(2,'New Tooling Jobs'!AG$13:AG$62,0))&lt;&gt;"","New Tooling",""),IF(INDEX(Reorders!A$13:A$62,MATCH(2-COUNTIFS('New Tooling Jobs'!A$13:A$62,"&lt;&gt;",'New Tooling Jobs'!E$13:E$62,"&lt;&gt;Completed"),Reorders!AC$13:AC$62,0))&lt;&gt;"","Reorder","")),"")</f>
        <v/>
      </c>
      <c r="C11" s="41">
        <f>IFERROR(IF(2&lt;=COUNTIFS('New Tooling Jobs'!A$13:A$62,"&lt;&gt;",'New Tooling Jobs'!E$13:E$62,"&lt;&gt;Completed"),INDEX('New Tooling Jobs'!B$13:B$62,MATCH(2,'New Tooling Jobs'!AG$13:AG$62,0)),INDEX(Reorders!B$13:B$62,MATCH(2-COUNTIFS('New Tooling Jobs'!A$13:A$62,"&lt;&gt;",'New Tooling Jobs'!E$13:E$62,"&lt;&gt;Completed"),Reorders!AC$13:AC$62,0))),"")</f>
        <v/>
      </c>
      <c r="D11" s="41">
        <f>IFERROR(IF(2&lt;=COUNTIFS('New Tooling Jobs'!A$13:A$62,"&lt;&gt;",'New Tooling Jobs'!E$13:E$62,"&lt;&gt;Completed"),INDEX('New Tooling Jobs'!E$13:E$62,MATCH(2,'New Tooling Jobs'!AG$13:AG$62,0)),INDEX(Reorders!E$13:E$62,MATCH(2-COUNTIFS('New Tooling Jobs'!A$13:A$62,"&lt;&gt;",'New Tooling Jobs'!E$13:E$62,"&lt;&gt;Completed"),Reorders!AC$13:AC$62,0))),"")</f>
        <v/>
      </c>
      <c r="E11" s="40">
        <f>IFERROR(IF(2&lt;=COUNTIFS('New Tooling Jobs'!A$13:A$62,"&lt;&gt;",'New Tooling Jobs'!E$13:E$62,"&lt;&gt;Completed"),INDEX('New Tooling Jobs'!G$13:G$62,MATCH(2,'New Tooling Jobs'!AG$13:AG$62,0)),INDEX(Reorders!G$13:G$62,MATCH(2-COUNTIFS('New Tooling Jobs'!A$13:A$62,"&lt;&gt;",'New Tooling Jobs'!E$13:E$62,"&lt;&gt;Completed"),Reorders!AC$13:AC$62,0))),"")</f>
        <v/>
      </c>
      <c r="F11" s="40">
        <f>IFERROR(IF(2&lt;=COUNTIFS('New Tooling Jobs'!A$13:A$62,"&lt;&gt;",'New Tooling Jobs'!E$13:E$62,"&lt;&gt;Completed"),INDEX('New Tooling Jobs'!H$13:H$62,MATCH(2,'New Tooling Jobs'!AG$13:AG$62,0)),INDEX(Reorders!H$13:H$62,MATCH(2-COUNTIFS('New Tooling Jobs'!A$13:A$62,"&lt;&gt;",'New Tooling Jobs'!E$13:E$62,"&lt;&gt;Completed"),Reorders!AC$13:AC$62,0))),"")</f>
        <v/>
      </c>
      <c r="G11" s="41">
        <f>IFERROR(IF(2&lt;=COUNTIFS('New Tooling Jobs'!A$13:A$62,"&lt;&gt;",'New Tooling Jobs'!E$13:E$62,"&lt;&gt;Completed"),INDEX('New Tooling Jobs'!I$13:I$62,MATCH(2,'New Tooling Jobs'!AG$13:AG$62,0)),INDEX(Reorders!I$13:I$62,MATCH(2-COUNTIFS('New Tooling Jobs'!A$13:A$62,"&lt;&gt;",'New Tooling Jobs'!E$13:E$62,"&lt;&gt;Completed"),Reorders!AC$13:AC$62,0))),"")</f>
        <v/>
      </c>
    </row>
    <row r="12" ht="15" customHeight="1" s="25">
      <c r="A12" s="40">
        <f>IFERROR(IF(3&lt;=COUNTIFS('New Tooling Jobs'!A$13:A$62,"&lt;&gt;",'New Tooling Jobs'!E$13:E$62,"&lt;&gt;Completed"),INDEX('New Tooling Jobs'!A$13:A$62,MATCH(3,'New Tooling Jobs'!AG$13:AG$62,0)),INDEX(Reorders!A$13:A$62,MATCH(3-COUNTIFS('New Tooling Jobs'!A$13:A$62,"&lt;&gt;",'New Tooling Jobs'!E$13:E$62,"&lt;&gt;Completed"),Reorders!AC$13:AC$62,0))),"")</f>
        <v/>
      </c>
      <c r="B12" s="40">
        <f>IFERROR(IF(3&lt;=COUNTIFS('New Tooling Jobs'!A$13:A$62,"&lt;&gt;",'New Tooling Jobs'!E$13:E$62,"&lt;&gt;Completed"),IF(INDEX('New Tooling Jobs'!A$13:A$62,MATCH(3,'New Tooling Jobs'!AG$13:AG$62,0))&lt;&gt;"","New Tooling",""),IF(INDEX(Reorders!A$13:A$62,MATCH(3-COUNTIFS('New Tooling Jobs'!A$13:A$62,"&lt;&gt;",'New Tooling Jobs'!E$13:E$62,"&lt;&gt;Completed"),Reorders!AC$13:AC$62,0))&lt;&gt;"","Reorder","")),"")</f>
        <v/>
      </c>
      <c r="C12" s="41">
        <f>IFERROR(IF(3&lt;=COUNTIFS('New Tooling Jobs'!A$13:A$62,"&lt;&gt;",'New Tooling Jobs'!E$13:E$62,"&lt;&gt;Completed"),INDEX('New Tooling Jobs'!B$13:B$62,MATCH(3,'New Tooling Jobs'!AG$13:AG$62,0)),INDEX(Reorders!B$13:B$62,MATCH(3-COUNTIFS('New Tooling Jobs'!A$13:A$62,"&lt;&gt;",'New Tooling Jobs'!E$13:E$62,"&lt;&gt;Completed"),Reorders!AC$13:AC$62,0))),"")</f>
        <v/>
      </c>
      <c r="D12" s="41">
        <f>IFERROR(IF(3&lt;=COUNTIFS('New Tooling Jobs'!A$13:A$62,"&lt;&gt;",'New Tooling Jobs'!E$13:E$62,"&lt;&gt;Completed"),INDEX('New Tooling Jobs'!E$13:E$62,MATCH(3,'New Tooling Jobs'!AG$13:AG$62,0)),INDEX(Reorders!E$13:E$62,MATCH(3-COUNTIFS('New Tooling Jobs'!A$13:A$62,"&lt;&gt;",'New Tooling Jobs'!E$13:E$62,"&lt;&gt;Completed"),Reorders!AC$13:AC$62,0))),"")</f>
        <v/>
      </c>
      <c r="E12" s="40">
        <f>IFERROR(IF(3&lt;=COUNTIFS('New Tooling Jobs'!A$13:A$62,"&lt;&gt;",'New Tooling Jobs'!E$13:E$62,"&lt;&gt;Completed"),INDEX('New Tooling Jobs'!G$13:G$62,MATCH(3,'New Tooling Jobs'!AG$13:AG$62,0)),INDEX(Reorders!G$13:G$62,MATCH(3-COUNTIFS('New Tooling Jobs'!A$13:A$62,"&lt;&gt;",'New Tooling Jobs'!E$13:E$62,"&lt;&gt;Completed"),Reorders!AC$13:AC$62,0))),"")</f>
        <v/>
      </c>
      <c r="F12" s="40">
        <f>IFERROR(IF(3&lt;=COUNTIFS('New Tooling Jobs'!A$13:A$62,"&lt;&gt;",'New Tooling Jobs'!E$13:E$62,"&lt;&gt;Completed"),INDEX('New Tooling Jobs'!H$13:H$62,MATCH(3,'New Tooling Jobs'!AG$13:AG$62,0)),INDEX(Reorders!H$13:H$62,MATCH(3-COUNTIFS('New Tooling Jobs'!A$13:A$62,"&lt;&gt;",'New Tooling Jobs'!E$13:E$62,"&lt;&gt;Completed"),Reorders!AC$13:AC$62,0))),"")</f>
        <v/>
      </c>
      <c r="G12" s="41">
        <f>IFERROR(IF(3&lt;=COUNTIFS('New Tooling Jobs'!A$13:A$62,"&lt;&gt;",'New Tooling Jobs'!E$13:E$62,"&lt;&gt;Completed"),INDEX('New Tooling Jobs'!I$13:I$62,MATCH(3,'New Tooling Jobs'!AG$13:AG$62,0)),INDEX(Reorders!I$13:I$62,MATCH(3-COUNTIFS('New Tooling Jobs'!A$13:A$62,"&lt;&gt;",'New Tooling Jobs'!E$13:E$62,"&lt;&gt;Completed"),Reorders!AC$13:AC$62,0))),"")</f>
        <v/>
      </c>
    </row>
    <row r="13" ht="15" customHeight="1" s="25">
      <c r="A13" s="40">
        <f>IFERROR(IF(4&lt;=COUNTIFS('New Tooling Jobs'!A$13:A$62,"&lt;&gt;",'New Tooling Jobs'!E$13:E$62,"&lt;&gt;Completed"),INDEX('New Tooling Jobs'!A$13:A$62,MATCH(4,'New Tooling Jobs'!AG$13:AG$62,0)),INDEX(Reorders!A$13:A$62,MATCH(4-COUNTIFS('New Tooling Jobs'!A$13:A$62,"&lt;&gt;",'New Tooling Jobs'!E$13:E$62,"&lt;&gt;Completed"),Reorders!AC$13:AC$62,0))),"")</f>
        <v/>
      </c>
      <c r="B13" s="40">
        <f>IFERROR(IF(4&lt;=COUNTIFS('New Tooling Jobs'!A$13:A$62,"&lt;&gt;",'New Tooling Jobs'!E$13:E$62,"&lt;&gt;Completed"),IF(INDEX('New Tooling Jobs'!A$13:A$62,MATCH(4,'New Tooling Jobs'!AG$13:AG$62,0))&lt;&gt;"","New Tooling",""),IF(INDEX(Reorders!A$13:A$62,MATCH(4-COUNTIFS('New Tooling Jobs'!A$13:A$62,"&lt;&gt;",'New Tooling Jobs'!E$13:E$62,"&lt;&gt;Completed"),Reorders!AC$13:AC$62,0))&lt;&gt;"","Reorder","")),"")</f>
        <v/>
      </c>
      <c r="C13" s="41">
        <f>IFERROR(IF(4&lt;=COUNTIFS('New Tooling Jobs'!A$13:A$62,"&lt;&gt;",'New Tooling Jobs'!E$13:E$62,"&lt;&gt;Completed"),INDEX('New Tooling Jobs'!B$13:B$62,MATCH(4,'New Tooling Jobs'!AG$13:AG$62,0)),INDEX(Reorders!B$13:B$62,MATCH(4-COUNTIFS('New Tooling Jobs'!A$13:A$62,"&lt;&gt;",'New Tooling Jobs'!E$13:E$62,"&lt;&gt;Completed"),Reorders!AC$13:AC$62,0))),"")</f>
        <v/>
      </c>
      <c r="D13" s="41">
        <f>IFERROR(IF(4&lt;=COUNTIFS('New Tooling Jobs'!A$13:A$62,"&lt;&gt;",'New Tooling Jobs'!E$13:E$62,"&lt;&gt;Completed"),INDEX('New Tooling Jobs'!E$13:E$62,MATCH(4,'New Tooling Jobs'!AG$13:AG$62,0)),INDEX(Reorders!E$13:E$62,MATCH(4-COUNTIFS('New Tooling Jobs'!A$13:A$62,"&lt;&gt;",'New Tooling Jobs'!E$13:E$62,"&lt;&gt;Completed"),Reorders!AC$13:AC$62,0))),"")</f>
        <v/>
      </c>
      <c r="E13" s="40">
        <f>IFERROR(IF(4&lt;=COUNTIFS('New Tooling Jobs'!A$13:A$62,"&lt;&gt;",'New Tooling Jobs'!E$13:E$62,"&lt;&gt;Completed"),INDEX('New Tooling Jobs'!G$13:G$62,MATCH(4,'New Tooling Jobs'!AG$13:AG$62,0)),INDEX(Reorders!G$13:G$62,MATCH(4-COUNTIFS('New Tooling Jobs'!A$13:A$62,"&lt;&gt;",'New Tooling Jobs'!E$13:E$62,"&lt;&gt;Completed"),Reorders!AC$13:AC$62,0))),"")</f>
        <v/>
      </c>
      <c r="F13" s="40">
        <f>IFERROR(IF(4&lt;=COUNTIFS('New Tooling Jobs'!A$13:A$62,"&lt;&gt;",'New Tooling Jobs'!E$13:E$62,"&lt;&gt;Completed"),INDEX('New Tooling Jobs'!H$13:H$62,MATCH(4,'New Tooling Jobs'!AG$13:AG$62,0)),INDEX(Reorders!H$13:H$62,MATCH(4-COUNTIFS('New Tooling Jobs'!A$13:A$62,"&lt;&gt;",'New Tooling Jobs'!E$13:E$62,"&lt;&gt;Completed"),Reorders!AC$13:AC$62,0))),"")</f>
        <v/>
      </c>
      <c r="G13" s="41">
        <f>IFERROR(IF(4&lt;=COUNTIFS('New Tooling Jobs'!A$13:A$62,"&lt;&gt;",'New Tooling Jobs'!E$13:E$62,"&lt;&gt;Completed"),INDEX('New Tooling Jobs'!I$13:I$62,MATCH(4,'New Tooling Jobs'!AG$13:AG$62,0)),INDEX(Reorders!I$13:I$62,MATCH(4-COUNTIFS('New Tooling Jobs'!A$13:A$62,"&lt;&gt;",'New Tooling Jobs'!E$13:E$62,"&lt;&gt;Completed"),Reorders!AC$13:AC$62,0))),"")</f>
        <v/>
      </c>
    </row>
    <row r="14" ht="15" customHeight="1" s="25">
      <c r="A14" s="40">
        <f>IFERROR(IF(5&lt;=COUNTIFS('New Tooling Jobs'!A$13:A$62,"&lt;&gt;",'New Tooling Jobs'!E$13:E$62,"&lt;&gt;Completed"),INDEX('New Tooling Jobs'!A$13:A$62,MATCH(5,'New Tooling Jobs'!AG$13:AG$62,0)),INDEX(Reorders!A$13:A$62,MATCH(5-COUNTIFS('New Tooling Jobs'!A$13:A$62,"&lt;&gt;",'New Tooling Jobs'!E$13:E$62,"&lt;&gt;Completed"),Reorders!AC$13:AC$62,0))),"")</f>
        <v/>
      </c>
      <c r="B14" s="40">
        <f>IFERROR(IF(5&lt;=COUNTIFS('New Tooling Jobs'!A$13:A$62,"&lt;&gt;",'New Tooling Jobs'!E$13:E$62,"&lt;&gt;Completed"),IF(INDEX('New Tooling Jobs'!A$13:A$62,MATCH(5,'New Tooling Jobs'!AG$13:AG$62,0))&lt;&gt;"","New Tooling",""),IF(INDEX(Reorders!A$13:A$62,MATCH(5-COUNTIFS('New Tooling Jobs'!A$13:A$62,"&lt;&gt;",'New Tooling Jobs'!E$13:E$62,"&lt;&gt;Completed"),Reorders!AC$13:AC$62,0))&lt;&gt;"","Reorder","")),"")</f>
        <v/>
      </c>
      <c r="C14" s="41">
        <f>IFERROR(IF(5&lt;=COUNTIFS('New Tooling Jobs'!A$13:A$62,"&lt;&gt;",'New Tooling Jobs'!E$13:E$62,"&lt;&gt;Completed"),INDEX('New Tooling Jobs'!B$13:B$62,MATCH(5,'New Tooling Jobs'!AG$13:AG$62,0)),INDEX(Reorders!B$13:B$62,MATCH(5-COUNTIFS('New Tooling Jobs'!A$13:A$62,"&lt;&gt;",'New Tooling Jobs'!E$13:E$62,"&lt;&gt;Completed"),Reorders!AC$13:AC$62,0))),"")</f>
        <v/>
      </c>
      <c r="D14" s="41">
        <f>IFERROR(IF(5&lt;=COUNTIFS('New Tooling Jobs'!A$13:A$62,"&lt;&gt;",'New Tooling Jobs'!E$13:E$62,"&lt;&gt;Completed"),INDEX('New Tooling Jobs'!E$13:E$62,MATCH(5,'New Tooling Jobs'!AG$13:AG$62,0)),INDEX(Reorders!E$13:E$62,MATCH(5-COUNTIFS('New Tooling Jobs'!A$13:A$62,"&lt;&gt;",'New Tooling Jobs'!E$13:E$62,"&lt;&gt;Completed"),Reorders!AC$13:AC$62,0))),"")</f>
        <v/>
      </c>
      <c r="E14" s="40">
        <f>IFERROR(IF(5&lt;=COUNTIFS('New Tooling Jobs'!A$13:A$62,"&lt;&gt;",'New Tooling Jobs'!E$13:E$62,"&lt;&gt;Completed"),INDEX('New Tooling Jobs'!G$13:G$62,MATCH(5,'New Tooling Jobs'!AG$13:AG$62,0)),INDEX(Reorders!G$13:G$62,MATCH(5-COUNTIFS('New Tooling Jobs'!A$13:A$62,"&lt;&gt;",'New Tooling Jobs'!E$13:E$62,"&lt;&gt;Completed"),Reorders!AC$13:AC$62,0))),"")</f>
        <v/>
      </c>
      <c r="F14" s="40">
        <f>IFERROR(IF(5&lt;=COUNTIFS('New Tooling Jobs'!A$13:A$62,"&lt;&gt;",'New Tooling Jobs'!E$13:E$62,"&lt;&gt;Completed"),INDEX('New Tooling Jobs'!H$13:H$62,MATCH(5,'New Tooling Jobs'!AG$13:AG$62,0)),INDEX(Reorders!H$13:H$62,MATCH(5-COUNTIFS('New Tooling Jobs'!A$13:A$62,"&lt;&gt;",'New Tooling Jobs'!E$13:E$62,"&lt;&gt;Completed"),Reorders!AC$13:AC$62,0))),"")</f>
        <v/>
      </c>
      <c r="G14" s="41">
        <f>IFERROR(IF(5&lt;=COUNTIFS('New Tooling Jobs'!A$13:A$62,"&lt;&gt;",'New Tooling Jobs'!E$13:E$62,"&lt;&gt;Completed"),INDEX('New Tooling Jobs'!I$13:I$62,MATCH(5,'New Tooling Jobs'!AG$13:AG$62,0)),INDEX(Reorders!I$13:I$62,MATCH(5-COUNTIFS('New Tooling Jobs'!A$13:A$62,"&lt;&gt;",'New Tooling Jobs'!E$13:E$62,"&lt;&gt;Completed"),Reorders!AC$13:AC$62,0))),"")</f>
        <v/>
      </c>
    </row>
    <row r="15" ht="15" customHeight="1" s="25">
      <c r="A15" s="40">
        <f>IFERROR(IF(6&lt;=COUNTIFS('New Tooling Jobs'!A$13:A$62,"&lt;&gt;",'New Tooling Jobs'!E$13:E$62,"&lt;&gt;Completed"),INDEX('New Tooling Jobs'!A$13:A$62,MATCH(6,'New Tooling Jobs'!AG$13:AG$62,0)),INDEX(Reorders!A$13:A$62,MATCH(6-COUNTIFS('New Tooling Jobs'!A$13:A$62,"&lt;&gt;",'New Tooling Jobs'!E$13:E$62,"&lt;&gt;Completed"),Reorders!AC$13:AC$62,0))),"")</f>
        <v/>
      </c>
      <c r="B15" s="40">
        <f>IFERROR(IF(6&lt;=COUNTIFS('New Tooling Jobs'!A$13:A$62,"&lt;&gt;",'New Tooling Jobs'!E$13:E$62,"&lt;&gt;Completed"),IF(INDEX('New Tooling Jobs'!A$13:A$62,MATCH(6,'New Tooling Jobs'!AG$13:AG$62,0))&lt;&gt;"","New Tooling",""),IF(INDEX(Reorders!A$13:A$62,MATCH(6-COUNTIFS('New Tooling Jobs'!A$13:A$62,"&lt;&gt;",'New Tooling Jobs'!E$13:E$62,"&lt;&gt;Completed"),Reorders!AC$13:AC$62,0))&lt;&gt;"","Reorder","")),"")</f>
        <v/>
      </c>
      <c r="C15" s="41">
        <f>IFERROR(IF(6&lt;=COUNTIFS('New Tooling Jobs'!A$13:A$62,"&lt;&gt;",'New Tooling Jobs'!E$13:E$62,"&lt;&gt;Completed"),INDEX('New Tooling Jobs'!B$13:B$62,MATCH(6,'New Tooling Jobs'!AG$13:AG$62,0)),INDEX(Reorders!B$13:B$62,MATCH(6-COUNTIFS('New Tooling Jobs'!A$13:A$62,"&lt;&gt;",'New Tooling Jobs'!E$13:E$62,"&lt;&gt;Completed"),Reorders!AC$13:AC$62,0))),"")</f>
        <v/>
      </c>
      <c r="D15" s="41">
        <f>IFERROR(IF(6&lt;=COUNTIFS('New Tooling Jobs'!A$13:A$62,"&lt;&gt;",'New Tooling Jobs'!E$13:E$62,"&lt;&gt;Completed"),INDEX('New Tooling Jobs'!E$13:E$62,MATCH(6,'New Tooling Jobs'!AG$13:AG$62,0)),INDEX(Reorders!E$13:E$62,MATCH(6-COUNTIFS('New Tooling Jobs'!A$13:A$62,"&lt;&gt;",'New Tooling Jobs'!E$13:E$62,"&lt;&gt;Completed"),Reorders!AC$13:AC$62,0))),"")</f>
        <v/>
      </c>
      <c r="E15" s="40">
        <f>IFERROR(IF(6&lt;=COUNTIFS('New Tooling Jobs'!A$13:A$62,"&lt;&gt;",'New Tooling Jobs'!E$13:E$62,"&lt;&gt;Completed"),INDEX('New Tooling Jobs'!G$13:G$62,MATCH(6,'New Tooling Jobs'!AG$13:AG$62,0)),INDEX(Reorders!G$13:G$62,MATCH(6-COUNTIFS('New Tooling Jobs'!A$13:A$62,"&lt;&gt;",'New Tooling Jobs'!E$13:E$62,"&lt;&gt;Completed"),Reorders!AC$13:AC$62,0))),"")</f>
        <v/>
      </c>
      <c r="F15" s="40">
        <f>IFERROR(IF(6&lt;=COUNTIFS('New Tooling Jobs'!A$13:A$62,"&lt;&gt;",'New Tooling Jobs'!E$13:E$62,"&lt;&gt;Completed"),INDEX('New Tooling Jobs'!H$13:H$62,MATCH(6,'New Tooling Jobs'!AG$13:AG$62,0)),INDEX(Reorders!H$13:H$62,MATCH(6-COUNTIFS('New Tooling Jobs'!A$13:A$62,"&lt;&gt;",'New Tooling Jobs'!E$13:E$62,"&lt;&gt;Completed"),Reorders!AC$13:AC$62,0))),"")</f>
        <v/>
      </c>
      <c r="G15" s="41">
        <f>IFERROR(IF(6&lt;=COUNTIFS('New Tooling Jobs'!A$13:A$62,"&lt;&gt;",'New Tooling Jobs'!E$13:E$62,"&lt;&gt;Completed"),INDEX('New Tooling Jobs'!I$13:I$62,MATCH(6,'New Tooling Jobs'!AG$13:AG$62,0)),INDEX(Reorders!I$13:I$62,MATCH(6-COUNTIFS('New Tooling Jobs'!A$13:A$62,"&lt;&gt;",'New Tooling Jobs'!E$13:E$62,"&lt;&gt;Completed"),Reorders!AC$13:AC$62,0))),"")</f>
        <v/>
      </c>
    </row>
    <row r="16" ht="15" customHeight="1" s="25">
      <c r="A16" s="40">
        <f>IFERROR(IF(7&lt;=COUNTIFS('New Tooling Jobs'!A$13:A$62,"&lt;&gt;",'New Tooling Jobs'!E$13:E$62,"&lt;&gt;Completed"),INDEX('New Tooling Jobs'!A$13:A$62,MATCH(7,'New Tooling Jobs'!AG$13:AG$62,0)),INDEX(Reorders!A$13:A$62,MATCH(7-COUNTIFS('New Tooling Jobs'!A$13:A$62,"&lt;&gt;",'New Tooling Jobs'!E$13:E$62,"&lt;&gt;Completed"),Reorders!AC$13:AC$62,0))),"")</f>
        <v/>
      </c>
      <c r="B16" s="40">
        <f>IFERROR(IF(7&lt;=COUNTIFS('New Tooling Jobs'!A$13:A$62,"&lt;&gt;",'New Tooling Jobs'!E$13:E$62,"&lt;&gt;Completed"),IF(INDEX('New Tooling Jobs'!A$13:A$62,MATCH(7,'New Tooling Jobs'!AG$13:AG$62,0))&lt;&gt;"","New Tooling",""),IF(INDEX(Reorders!A$13:A$62,MATCH(7-COUNTIFS('New Tooling Jobs'!A$13:A$62,"&lt;&gt;",'New Tooling Jobs'!E$13:E$62,"&lt;&gt;Completed"),Reorders!AC$13:AC$62,0))&lt;&gt;"","Reorder","")),"")</f>
        <v/>
      </c>
      <c r="C16" s="41">
        <f>IFERROR(IF(7&lt;=COUNTIFS('New Tooling Jobs'!A$13:A$62,"&lt;&gt;",'New Tooling Jobs'!E$13:E$62,"&lt;&gt;Completed"),INDEX('New Tooling Jobs'!B$13:B$62,MATCH(7,'New Tooling Jobs'!AG$13:AG$62,0)),INDEX(Reorders!B$13:B$62,MATCH(7-COUNTIFS('New Tooling Jobs'!A$13:A$62,"&lt;&gt;",'New Tooling Jobs'!E$13:E$62,"&lt;&gt;Completed"),Reorders!AC$13:AC$62,0))),"")</f>
        <v/>
      </c>
      <c r="D16" s="41">
        <f>IFERROR(IF(7&lt;=COUNTIFS('New Tooling Jobs'!A$13:A$62,"&lt;&gt;",'New Tooling Jobs'!E$13:E$62,"&lt;&gt;Completed"),INDEX('New Tooling Jobs'!E$13:E$62,MATCH(7,'New Tooling Jobs'!AG$13:AG$62,0)),INDEX(Reorders!E$13:E$62,MATCH(7-COUNTIFS('New Tooling Jobs'!A$13:A$62,"&lt;&gt;",'New Tooling Jobs'!E$13:E$62,"&lt;&gt;Completed"),Reorders!AC$13:AC$62,0))),"")</f>
        <v/>
      </c>
      <c r="E16" s="40">
        <f>IFERROR(IF(7&lt;=COUNTIFS('New Tooling Jobs'!A$13:A$62,"&lt;&gt;",'New Tooling Jobs'!E$13:E$62,"&lt;&gt;Completed"),INDEX('New Tooling Jobs'!G$13:G$62,MATCH(7,'New Tooling Jobs'!AG$13:AG$62,0)),INDEX(Reorders!G$13:G$62,MATCH(7-COUNTIFS('New Tooling Jobs'!A$13:A$62,"&lt;&gt;",'New Tooling Jobs'!E$13:E$62,"&lt;&gt;Completed"),Reorders!AC$13:AC$62,0))),"")</f>
        <v/>
      </c>
      <c r="F16" s="40">
        <f>IFERROR(IF(7&lt;=COUNTIFS('New Tooling Jobs'!A$13:A$62,"&lt;&gt;",'New Tooling Jobs'!E$13:E$62,"&lt;&gt;Completed"),INDEX('New Tooling Jobs'!H$13:H$62,MATCH(7,'New Tooling Jobs'!AG$13:AG$62,0)),INDEX(Reorders!H$13:H$62,MATCH(7-COUNTIFS('New Tooling Jobs'!A$13:A$62,"&lt;&gt;",'New Tooling Jobs'!E$13:E$62,"&lt;&gt;Completed"),Reorders!AC$13:AC$62,0))),"")</f>
        <v/>
      </c>
      <c r="G16" s="41">
        <f>IFERROR(IF(7&lt;=COUNTIFS('New Tooling Jobs'!A$13:A$62,"&lt;&gt;",'New Tooling Jobs'!E$13:E$62,"&lt;&gt;Completed"),INDEX('New Tooling Jobs'!I$13:I$62,MATCH(7,'New Tooling Jobs'!AG$13:AG$62,0)),INDEX(Reorders!I$13:I$62,MATCH(7-COUNTIFS('New Tooling Jobs'!A$13:A$62,"&lt;&gt;",'New Tooling Jobs'!E$13:E$62,"&lt;&gt;Completed"),Reorders!AC$13:AC$62,0))),"")</f>
        <v/>
      </c>
    </row>
    <row r="17" ht="15" customHeight="1" s="25">
      <c r="A17" s="40">
        <f>IFERROR(IF(8&lt;=COUNTIFS('New Tooling Jobs'!A$13:A$62,"&lt;&gt;",'New Tooling Jobs'!E$13:E$62,"&lt;&gt;Completed"),INDEX('New Tooling Jobs'!A$13:A$62,MATCH(8,'New Tooling Jobs'!AG$13:AG$62,0)),INDEX(Reorders!A$13:A$62,MATCH(8-COUNTIFS('New Tooling Jobs'!A$13:A$62,"&lt;&gt;",'New Tooling Jobs'!E$13:E$62,"&lt;&gt;Completed"),Reorders!AC$13:AC$62,0))),"")</f>
        <v/>
      </c>
      <c r="B17" s="40">
        <f>IFERROR(IF(8&lt;=COUNTIFS('New Tooling Jobs'!A$13:A$62,"&lt;&gt;",'New Tooling Jobs'!E$13:E$62,"&lt;&gt;Completed"),IF(INDEX('New Tooling Jobs'!A$13:A$62,MATCH(8,'New Tooling Jobs'!AG$13:AG$62,0))&lt;&gt;"","New Tooling",""),IF(INDEX(Reorders!A$13:A$62,MATCH(8-COUNTIFS('New Tooling Jobs'!A$13:A$62,"&lt;&gt;",'New Tooling Jobs'!E$13:E$62,"&lt;&gt;Completed"),Reorders!AC$13:AC$62,0))&lt;&gt;"","Reorder","")),"")</f>
        <v/>
      </c>
      <c r="C17" s="41">
        <f>IFERROR(IF(8&lt;=COUNTIFS('New Tooling Jobs'!A$13:A$62,"&lt;&gt;",'New Tooling Jobs'!E$13:E$62,"&lt;&gt;Completed"),INDEX('New Tooling Jobs'!B$13:B$62,MATCH(8,'New Tooling Jobs'!AG$13:AG$62,0)),INDEX(Reorders!B$13:B$62,MATCH(8-COUNTIFS('New Tooling Jobs'!A$13:A$62,"&lt;&gt;",'New Tooling Jobs'!E$13:E$62,"&lt;&gt;Completed"),Reorders!AC$13:AC$62,0))),"")</f>
        <v/>
      </c>
      <c r="D17" s="41">
        <f>IFERROR(IF(8&lt;=COUNTIFS('New Tooling Jobs'!A$13:A$62,"&lt;&gt;",'New Tooling Jobs'!E$13:E$62,"&lt;&gt;Completed"),INDEX('New Tooling Jobs'!E$13:E$62,MATCH(8,'New Tooling Jobs'!AG$13:AG$62,0)),INDEX(Reorders!E$13:E$62,MATCH(8-COUNTIFS('New Tooling Jobs'!A$13:A$62,"&lt;&gt;",'New Tooling Jobs'!E$13:E$62,"&lt;&gt;Completed"),Reorders!AC$13:AC$62,0))),"")</f>
        <v/>
      </c>
      <c r="E17" s="40">
        <f>IFERROR(IF(8&lt;=COUNTIFS('New Tooling Jobs'!A$13:A$62,"&lt;&gt;",'New Tooling Jobs'!E$13:E$62,"&lt;&gt;Completed"),INDEX('New Tooling Jobs'!G$13:G$62,MATCH(8,'New Tooling Jobs'!AG$13:AG$62,0)),INDEX(Reorders!G$13:G$62,MATCH(8-COUNTIFS('New Tooling Jobs'!A$13:A$62,"&lt;&gt;",'New Tooling Jobs'!E$13:E$62,"&lt;&gt;Completed"),Reorders!AC$13:AC$62,0))),"")</f>
        <v/>
      </c>
      <c r="F17" s="40">
        <f>IFERROR(IF(8&lt;=COUNTIFS('New Tooling Jobs'!A$13:A$62,"&lt;&gt;",'New Tooling Jobs'!E$13:E$62,"&lt;&gt;Completed"),INDEX('New Tooling Jobs'!H$13:H$62,MATCH(8,'New Tooling Jobs'!AG$13:AG$62,0)),INDEX(Reorders!H$13:H$62,MATCH(8-COUNTIFS('New Tooling Jobs'!A$13:A$62,"&lt;&gt;",'New Tooling Jobs'!E$13:E$62,"&lt;&gt;Completed"),Reorders!AC$13:AC$62,0))),"")</f>
        <v/>
      </c>
      <c r="G17" s="41">
        <f>IFERROR(IF(8&lt;=COUNTIFS('New Tooling Jobs'!A$13:A$62,"&lt;&gt;",'New Tooling Jobs'!E$13:E$62,"&lt;&gt;Completed"),INDEX('New Tooling Jobs'!I$13:I$62,MATCH(8,'New Tooling Jobs'!AG$13:AG$62,0)),INDEX(Reorders!I$13:I$62,MATCH(8-COUNTIFS('New Tooling Jobs'!A$13:A$62,"&lt;&gt;",'New Tooling Jobs'!E$13:E$62,"&lt;&gt;Completed"),Reorders!AC$13:AC$62,0))),"")</f>
        <v/>
      </c>
    </row>
    <row r="18" ht="15" customHeight="1" s="25">
      <c r="A18" s="40">
        <f>IFERROR(IF(9&lt;=COUNTIFS('New Tooling Jobs'!A$13:A$62,"&lt;&gt;",'New Tooling Jobs'!E$13:E$62,"&lt;&gt;Completed"),INDEX('New Tooling Jobs'!A$13:A$62,MATCH(9,'New Tooling Jobs'!AG$13:AG$62,0)),INDEX(Reorders!A$13:A$62,MATCH(9-COUNTIFS('New Tooling Jobs'!A$13:A$62,"&lt;&gt;",'New Tooling Jobs'!E$13:E$62,"&lt;&gt;Completed"),Reorders!AC$13:AC$62,0))),"")</f>
        <v/>
      </c>
      <c r="B18" s="40">
        <f>IFERROR(IF(9&lt;=COUNTIFS('New Tooling Jobs'!A$13:A$62,"&lt;&gt;",'New Tooling Jobs'!E$13:E$62,"&lt;&gt;Completed"),IF(INDEX('New Tooling Jobs'!A$13:A$62,MATCH(9,'New Tooling Jobs'!AG$13:AG$62,0))&lt;&gt;"","New Tooling",""),IF(INDEX(Reorders!A$13:A$62,MATCH(9-COUNTIFS('New Tooling Jobs'!A$13:A$62,"&lt;&gt;",'New Tooling Jobs'!E$13:E$62,"&lt;&gt;Completed"),Reorders!AC$13:AC$62,0))&lt;&gt;"","Reorder","")),"")</f>
        <v/>
      </c>
      <c r="C18" s="41">
        <f>IFERROR(IF(9&lt;=COUNTIFS('New Tooling Jobs'!A$13:A$62,"&lt;&gt;",'New Tooling Jobs'!E$13:E$62,"&lt;&gt;Completed"),INDEX('New Tooling Jobs'!B$13:B$62,MATCH(9,'New Tooling Jobs'!AG$13:AG$62,0)),INDEX(Reorders!B$13:B$62,MATCH(9-COUNTIFS('New Tooling Jobs'!A$13:A$62,"&lt;&gt;",'New Tooling Jobs'!E$13:E$62,"&lt;&gt;Completed"),Reorders!AC$13:AC$62,0))),"")</f>
        <v/>
      </c>
      <c r="D18" s="41">
        <f>IFERROR(IF(9&lt;=COUNTIFS('New Tooling Jobs'!A$13:A$62,"&lt;&gt;",'New Tooling Jobs'!E$13:E$62,"&lt;&gt;Completed"),INDEX('New Tooling Jobs'!E$13:E$62,MATCH(9,'New Tooling Jobs'!AG$13:AG$62,0)),INDEX(Reorders!E$13:E$62,MATCH(9-COUNTIFS('New Tooling Jobs'!A$13:A$62,"&lt;&gt;",'New Tooling Jobs'!E$13:E$62,"&lt;&gt;Completed"),Reorders!AC$13:AC$62,0))),"")</f>
        <v/>
      </c>
      <c r="E18" s="40">
        <f>IFERROR(IF(9&lt;=COUNTIFS('New Tooling Jobs'!A$13:A$62,"&lt;&gt;",'New Tooling Jobs'!E$13:E$62,"&lt;&gt;Completed"),INDEX('New Tooling Jobs'!G$13:G$62,MATCH(9,'New Tooling Jobs'!AG$13:AG$62,0)),INDEX(Reorders!G$13:G$62,MATCH(9-COUNTIFS('New Tooling Jobs'!A$13:A$62,"&lt;&gt;",'New Tooling Jobs'!E$13:E$62,"&lt;&gt;Completed"),Reorders!AC$13:AC$62,0))),"")</f>
        <v/>
      </c>
      <c r="F18" s="40">
        <f>IFERROR(IF(9&lt;=COUNTIFS('New Tooling Jobs'!A$13:A$62,"&lt;&gt;",'New Tooling Jobs'!E$13:E$62,"&lt;&gt;Completed"),INDEX('New Tooling Jobs'!H$13:H$62,MATCH(9,'New Tooling Jobs'!AG$13:AG$62,0)),INDEX(Reorders!H$13:H$62,MATCH(9-COUNTIFS('New Tooling Jobs'!A$13:A$62,"&lt;&gt;",'New Tooling Jobs'!E$13:E$62,"&lt;&gt;Completed"),Reorders!AC$13:AC$62,0))),"")</f>
        <v/>
      </c>
      <c r="G18" s="41">
        <f>IFERROR(IF(9&lt;=COUNTIFS('New Tooling Jobs'!A$13:A$62,"&lt;&gt;",'New Tooling Jobs'!E$13:E$62,"&lt;&gt;Completed"),INDEX('New Tooling Jobs'!I$13:I$62,MATCH(9,'New Tooling Jobs'!AG$13:AG$62,0)),INDEX(Reorders!I$13:I$62,MATCH(9-COUNTIFS('New Tooling Jobs'!A$13:A$62,"&lt;&gt;",'New Tooling Jobs'!E$13:E$62,"&lt;&gt;Completed"),Reorders!AC$13:AC$62,0))),"")</f>
        <v/>
      </c>
    </row>
    <row r="19" ht="15" customHeight="1" s="25">
      <c r="A19" s="40">
        <f>IFERROR(IF(10&lt;=COUNTIFS('New Tooling Jobs'!A$13:A$62,"&lt;&gt;",'New Tooling Jobs'!E$13:E$62,"&lt;&gt;Completed"),INDEX('New Tooling Jobs'!A$13:A$62,MATCH(10,'New Tooling Jobs'!AG$13:AG$62,0)),INDEX(Reorders!A$13:A$62,MATCH(10-COUNTIFS('New Tooling Jobs'!A$13:A$62,"&lt;&gt;",'New Tooling Jobs'!E$13:E$62,"&lt;&gt;Completed"),Reorders!AC$13:AC$62,0))),"")</f>
        <v/>
      </c>
      <c r="B19" s="40">
        <f>IFERROR(IF(10&lt;=COUNTIFS('New Tooling Jobs'!A$13:A$62,"&lt;&gt;",'New Tooling Jobs'!E$13:E$62,"&lt;&gt;Completed"),IF(INDEX('New Tooling Jobs'!A$13:A$62,MATCH(10,'New Tooling Jobs'!AG$13:AG$62,0))&lt;&gt;"","New Tooling",""),IF(INDEX(Reorders!A$13:A$62,MATCH(10-COUNTIFS('New Tooling Jobs'!A$13:A$62,"&lt;&gt;",'New Tooling Jobs'!E$13:E$62,"&lt;&gt;Completed"),Reorders!AC$13:AC$62,0))&lt;&gt;"","Reorder","")),"")</f>
        <v/>
      </c>
      <c r="C19" s="41">
        <f>IFERROR(IF(10&lt;=COUNTIFS('New Tooling Jobs'!A$13:A$62,"&lt;&gt;",'New Tooling Jobs'!E$13:E$62,"&lt;&gt;Completed"),INDEX('New Tooling Jobs'!B$13:B$62,MATCH(10,'New Tooling Jobs'!AG$13:AG$62,0)),INDEX(Reorders!B$13:B$62,MATCH(10-COUNTIFS('New Tooling Jobs'!A$13:A$62,"&lt;&gt;",'New Tooling Jobs'!E$13:E$62,"&lt;&gt;Completed"),Reorders!AC$13:AC$62,0))),"")</f>
        <v/>
      </c>
      <c r="D19" s="41">
        <f>IFERROR(IF(10&lt;=COUNTIFS('New Tooling Jobs'!A$13:A$62,"&lt;&gt;",'New Tooling Jobs'!E$13:E$62,"&lt;&gt;Completed"),INDEX('New Tooling Jobs'!E$13:E$62,MATCH(10,'New Tooling Jobs'!AG$13:AG$62,0)),INDEX(Reorders!E$13:E$62,MATCH(10-COUNTIFS('New Tooling Jobs'!A$13:A$62,"&lt;&gt;",'New Tooling Jobs'!E$13:E$62,"&lt;&gt;Completed"),Reorders!AC$13:AC$62,0))),"")</f>
        <v/>
      </c>
      <c r="E19" s="40">
        <f>IFERROR(IF(10&lt;=COUNTIFS('New Tooling Jobs'!A$13:A$62,"&lt;&gt;",'New Tooling Jobs'!E$13:E$62,"&lt;&gt;Completed"),INDEX('New Tooling Jobs'!G$13:G$62,MATCH(10,'New Tooling Jobs'!AG$13:AG$62,0)),INDEX(Reorders!G$13:G$62,MATCH(10-COUNTIFS('New Tooling Jobs'!A$13:A$62,"&lt;&gt;",'New Tooling Jobs'!E$13:E$62,"&lt;&gt;Completed"),Reorders!AC$13:AC$62,0))),"")</f>
        <v/>
      </c>
      <c r="F19" s="40">
        <f>IFERROR(IF(10&lt;=COUNTIFS('New Tooling Jobs'!A$13:A$62,"&lt;&gt;",'New Tooling Jobs'!E$13:E$62,"&lt;&gt;Completed"),INDEX('New Tooling Jobs'!H$13:H$62,MATCH(10,'New Tooling Jobs'!AG$13:AG$62,0)),INDEX(Reorders!H$13:H$62,MATCH(10-COUNTIFS('New Tooling Jobs'!A$13:A$62,"&lt;&gt;",'New Tooling Jobs'!E$13:E$62,"&lt;&gt;Completed"),Reorders!AC$13:AC$62,0))),"")</f>
        <v/>
      </c>
      <c r="G19" s="41">
        <f>IFERROR(IF(10&lt;=COUNTIFS('New Tooling Jobs'!A$13:A$62,"&lt;&gt;",'New Tooling Jobs'!E$13:E$62,"&lt;&gt;Completed"),INDEX('New Tooling Jobs'!I$13:I$62,MATCH(10,'New Tooling Jobs'!AG$13:AG$62,0)),INDEX(Reorders!I$13:I$62,MATCH(10-COUNTIFS('New Tooling Jobs'!A$13:A$62,"&lt;&gt;",'New Tooling Jobs'!E$13:E$62,"&lt;&gt;Completed"),Reorders!AC$13:AC$62,0))),"")</f>
        <v/>
      </c>
    </row>
    <row r="20" ht="15" customHeight="1" s="25">
      <c r="A20" s="40">
        <f>IFERROR(IF(11&lt;=COUNTIFS('New Tooling Jobs'!A$13:A$62,"&lt;&gt;",'New Tooling Jobs'!E$13:E$62,"&lt;&gt;Completed"),INDEX('New Tooling Jobs'!A$13:A$62,MATCH(11,'New Tooling Jobs'!AG$13:AG$62,0)),INDEX(Reorders!A$13:A$62,MATCH(11-COUNTIFS('New Tooling Jobs'!A$13:A$62,"&lt;&gt;",'New Tooling Jobs'!E$13:E$62,"&lt;&gt;Completed"),Reorders!AC$13:AC$62,0))),"")</f>
        <v/>
      </c>
      <c r="B20" s="40">
        <f>IFERROR(IF(11&lt;=COUNTIFS('New Tooling Jobs'!A$13:A$62,"&lt;&gt;",'New Tooling Jobs'!E$13:E$62,"&lt;&gt;Completed"),IF(INDEX('New Tooling Jobs'!A$13:A$62,MATCH(11,'New Tooling Jobs'!AG$13:AG$62,0))&lt;&gt;"","New Tooling",""),IF(INDEX(Reorders!A$13:A$62,MATCH(11-COUNTIFS('New Tooling Jobs'!A$13:A$62,"&lt;&gt;",'New Tooling Jobs'!E$13:E$62,"&lt;&gt;Completed"),Reorders!AC$13:AC$62,0))&lt;&gt;"","Reorder","")),"")</f>
        <v/>
      </c>
      <c r="C20" s="41">
        <f>IFERROR(IF(11&lt;=COUNTIFS('New Tooling Jobs'!A$13:A$62,"&lt;&gt;",'New Tooling Jobs'!E$13:E$62,"&lt;&gt;Completed"),INDEX('New Tooling Jobs'!B$13:B$62,MATCH(11,'New Tooling Jobs'!AG$13:AG$62,0)),INDEX(Reorders!B$13:B$62,MATCH(11-COUNTIFS('New Tooling Jobs'!A$13:A$62,"&lt;&gt;",'New Tooling Jobs'!E$13:E$62,"&lt;&gt;Completed"),Reorders!AC$13:AC$62,0))),"")</f>
        <v/>
      </c>
      <c r="D20" s="41">
        <f>IFERROR(IF(11&lt;=COUNTIFS('New Tooling Jobs'!A$13:A$62,"&lt;&gt;",'New Tooling Jobs'!E$13:E$62,"&lt;&gt;Completed"),INDEX('New Tooling Jobs'!E$13:E$62,MATCH(11,'New Tooling Jobs'!AG$13:AG$62,0)),INDEX(Reorders!E$13:E$62,MATCH(11-COUNTIFS('New Tooling Jobs'!A$13:A$62,"&lt;&gt;",'New Tooling Jobs'!E$13:E$62,"&lt;&gt;Completed"),Reorders!AC$13:AC$62,0))),"")</f>
        <v/>
      </c>
      <c r="E20" s="40">
        <f>IFERROR(IF(11&lt;=COUNTIFS('New Tooling Jobs'!A$13:A$62,"&lt;&gt;",'New Tooling Jobs'!E$13:E$62,"&lt;&gt;Completed"),INDEX('New Tooling Jobs'!G$13:G$62,MATCH(11,'New Tooling Jobs'!AG$13:AG$62,0)),INDEX(Reorders!G$13:G$62,MATCH(11-COUNTIFS('New Tooling Jobs'!A$13:A$62,"&lt;&gt;",'New Tooling Jobs'!E$13:E$62,"&lt;&gt;Completed"),Reorders!AC$13:AC$62,0))),"")</f>
        <v/>
      </c>
      <c r="F20" s="40">
        <f>IFERROR(IF(11&lt;=COUNTIFS('New Tooling Jobs'!A$13:A$62,"&lt;&gt;",'New Tooling Jobs'!E$13:E$62,"&lt;&gt;Completed"),INDEX('New Tooling Jobs'!H$13:H$62,MATCH(11,'New Tooling Jobs'!AG$13:AG$62,0)),INDEX(Reorders!H$13:H$62,MATCH(11-COUNTIFS('New Tooling Jobs'!A$13:A$62,"&lt;&gt;",'New Tooling Jobs'!E$13:E$62,"&lt;&gt;Completed"),Reorders!AC$13:AC$62,0))),"")</f>
        <v/>
      </c>
      <c r="G20" s="41">
        <f>IFERROR(IF(11&lt;=COUNTIFS('New Tooling Jobs'!A$13:A$62,"&lt;&gt;",'New Tooling Jobs'!E$13:E$62,"&lt;&gt;Completed"),INDEX('New Tooling Jobs'!I$13:I$62,MATCH(11,'New Tooling Jobs'!AG$13:AG$62,0)),INDEX(Reorders!I$13:I$62,MATCH(11-COUNTIFS('New Tooling Jobs'!A$13:A$62,"&lt;&gt;",'New Tooling Jobs'!E$13:E$62,"&lt;&gt;Completed"),Reorders!AC$13:AC$62,0))),"")</f>
        <v/>
      </c>
    </row>
    <row r="21" ht="15" customHeight="1" s="25">
      <c r="A21" s="40">
        <f>IFERROR(IF(12&lt;=COUNTIFS('New Tooling Jobs'!A$13:A$62,"&lt;&gt;",'New Tooling Jobs'!E$13:E$62,"&lt;&gt;Completed"),INDEX('New Tooling Jobs'!A$13:A$62,MATCH(12,'New Tooling Jobs'!AG$13:AG$62,0)),INDEX(Reorders!A$13:A$62,MATCH(12-COUNTIFS('New Tooling Jobs'!A$13:A$62,"&lt;&gt;",'New Tooling Jobs'!E$13:E$62,"&lt;&gt;Completed"),Reorders!AC$13:AC$62,0))),"")</f>
        <v/>
      </c>
      <c r="B21" s="40">
        <f>IFERROR(IF(12&lt;=COUNTIFS('New Tooling Jobs'!A$13:A$62,"&lt;&gt;",'New Tooling Jobs'!E$13:E$62,"&lt;&gt;Completed"),IF(INDEX('New Tooling Jobs'!A$13:A$62,MATCH(12,'New Tooling Jobs'!AG$13:AG$62,0))&lt;&gt;"","New Tooling",""),IF(INDEX(Reorders!A$13:A$62,MATCH(12-COUNTIFS('New Tooling Jobs'!A$13:A$62,"&lt;&gt;",'New Tooling Jobs'!E$13:E$62,"&lt;&gt;Completed"),Reorders!AC$13:AC$62,0))&lt;&gt;"","Reorder","")),"")</f>
        <v/>
      </c>
      <c r="C21" s="41">
        <f>IFERROR(IF(12&lt;=COUNTIFS('New Tooling Jobs'!A$13:A$62,"&lt;&gt;",'New Tooling Jobs'!E$13:E$62,"&lt;&gt;Completed"),INDEX('New Tooling Jobs'!B$13:B$62,MATCH(12,'New Tooling Jobs'!AG$13:AG$62,0)),INDEX(Reorders!B$13:B$62,MATCH(12-COUNTIFS('New Tooling Jobs'!A$13:A$62,"&lt;&gt;",'New Tooling Jobs'!E$13:E$62,"&lt;&gt;Completed"),Reorders!AC$13:AC$62,0))),"")</f>
        <v/>
      </c>
      <c r="D21" s="41">
        <f>IFERROR(IF(12&lt;=COUNTIFS('New Tooling Jobs'!A$13:A$62,"&lt;&gt;",'New Tooling Jobs'!E$13:E$62,"&lt;&gt;Completed"),INDEX('New Tooling Jobs'!E$13:E$62,MATCH(12,'New Tooling Jobs'!AG$13:AG$62,0)),INDEX(Reorders!E$13:E$62,MATCH(12-COUNTIFS('New Tooling Jobs'!A$13:A$62,"&lt;&gt;",'New Tooling Jobs'!E$13:E$62,"&lt;&gt;Completed"),Reorders!AC$13:AC$62,0))),"")</f>
        <v/>
      </c>
      <c r="E21" s="40">
        <f>IFERROR(IF(12&lt;=COUNTIFS('New Tooling Jobs'!A$13:A$62,"&lt;&gt;",'New Tooling Jobs'!E$13:E$62,"&lt;&gt;Completed"),INDEX('New Tooling Jobs'!G$13:G$62,MATCH(12,'New Tooling Jobs'!AG$13:AG$62,0)),INDEX(Reorders!G$13:G$62,MATCH(12-COUNTIFS('New Tooling Jobs'!A$13:A$62,"&lt;&gt;",'New Tooling Jobs'!E$13:E$62,"&lt;&gt;Completed"),Reorders!AC$13:AC$62,0))),"")</f>
        <v/>
      </c>
      <c r="F21" s="40">
        <f>IFERROR(IF(12&lt;=COUNTIFS('New Tooling Jobs'!A$13:A$62,"&lt;&gt;",'New Tooling Jobs'!E$13:E$62,"&lt;&gt;Completed"),INDEX('New Tooling Jobs'!H$13:H$62,MATCH(12,'New Tooling Jobs'!AG$13:AG$62,0)),INDEX(Reorders!H$13:H$62,MATCH(12-COUNTIFS('New Tooling Jobs'!A$13:A$62,"&lt;&gt;",'New Tooling Jobs'!E$13:E$62,"&lt;&gt;Completed"),Reorders!AC$13:AC$62,0))),"")</f>
        <v/>
      </c>
      <c r="G21" s="41">
        <f>IFERROR(IF(12&lt;=COUNTIFS('New Tooling Jobs'!A$13:A$62,"&lt;&gt;",'New Tooling Jobs'!E$13:E$62,"&lt;&gt;Completed"),INDEX('New Tooling Jobs'!I$13:I$62,MATCH(12,'New Tooling Jobs'!AG$13:AG$62,0)),INDEX(Reorders!I$13:I$62,MATCH(12-COUNTIFS('New Tooling Jobs'!A$13:A$62,"&lt;&gt;",'New Tooling Jobs'!E$13:E$62,"&lt;&gt;Completed"),Reorders!AC$13:AC$62,0))),"")</f>
        <v/>
      </c>
    </row>
    <row r="22" ht="15" customHeight="1" s="25">
      <c r="A22" s="40">
        <f>IFERROR(IF(13&lt;=COUNTIFS('New Tooling Jobs'!A$13:A$62,"&lt;&gt;",'New Tooling Jobs'!E$13:E$62,"&lt;&gt;Completed"),INDEX('New Tooling Jobs'!A$13:A$62,MATCH(13,'New Tooling Jobs'!AG$13:AG$62,0)),INDEX(Reorders!A$13:A$62,MATCH(13-COUNTIFS('New Tooling Jobs'!A$13:A$62,"&lt;&gt;",'New Tooling Jobs'!E$13:E$62,"&lt;&gt;Completed"),Reorders!AC$13:AC$62,0))),"")</f>
        <v/>
      </c>
      <c r="B22" s="40">
        <f>IFERROR(IF(13&lt;=COUNTIFS('New Tooling Jobs'!A$13:A$62,"&lt;&gt;",'New Tooling Jobs'!E$13:E$62,"&lt;&gt;Completed"),IF(INDEX('New Tooling Jobs'!A$13:A$62,MATCH(13,'New Tooling Jobs'!AG$13:AG$62,0))&lt;&gt;"","New Tooling",""),IF(INDEX(Reorders!A$13:A$62,MATCH(13-COUNTIFS('New Tooling Jobs'!A$13:A$62,"&lt;&gt;",'New Tooling Jobs'!E$13:E$62,"&lt;&gt;Completed"),Reorders!AC$13:AC$62,0))&lt;&gt;"","Reorder","")),"")</f>
        <v/>
      </c>
      <c r="C22" s="41">
        <f>IFERROR(IF(13&lt;=COUNTIFS('New Tooling Jobs'!A$13:A$62,"&lt;&gt;",'New Tooling Jobs'!E$13:E$62,"&lt;&gt;Completed"),INDEX('New Tooling Jobs'!B$13:B$62,MATCH(13,'New Tooling Jobs'!AG$13:AG$62,0)),INDEX(Reorders!B$13:B$62,MATCH(13-COUNTIFS('New Tooling Jobs'!A$13:A$62,"&lt;&gt;",'New Tooling Jobs'!E$13:E$62,"&lt;&gt;Completed"),Reorders!AC$13:AC$62,0))),"")</f>
        <v/>
      </c>
      <c r="D22" s="41">
        <f>IFERROR(IF(13&lt;=COUNTIFS('New Tooling Jobs'!A$13:A$62,"&lt;&gt;",'New Tooling Jobs'!E$13:E$62,"&lt;&gt;Completed"),INDEX('New Tooling Jobs'!E$13:E$62,MATCH(13,'New Tooling Jobs'!AG$13:AG$62,0)),INDEX(Reorders!E$13:E$62,MATCH(13-COUNTIFS('New Tooling Jobs'!A$13:A$62,"&lt;&gt;",'New Tooling Jobs'!E$13:E$62,"&lt;&gt;Completed"),Reorders!AC$13:AC$62,0))),"")</f>
        <v/>
      </c>
      <c r="E22" s="40">
        <f>IFERROR(IF(13&lt;=COUNTIFS('New Tooling Jobs'!A$13:A$62,"&lt;&gt;",'New Tooling Jobs'!E$13:E$62,"&lt;&gt;Completed"),INDEX('New Tooling Jobs'!G$13:G$62,MATCH(13,'New Tooling Jobs'!AG$13:AG$62,0)),INDEX(Reorders!G$13:G$62,MATCH(13-COUNTIFS('New Tooling Jobs'!A$13:A$62,"&lt;&gt;",'New Tooling Jobs'!E$13:E$62,"&lt;&gt;Completed"),Reorders!AC$13:AC$62,0))),"")</f>
        <v/>
      </c>
      <c r="F22" s="40">
        <f>IFERROR(IF(13&lt;=COUNTIFS('New Tooling Jobs'!A$13:A$62,"&lt;&gt;",'New Tooling Jobs'!E$13:E$62,"&lt;&gt;Completed"),INDEX('New Tooling Jobs'!H$13:H$62,MATCH(13,'New Tooling Jobs'!AG$13:AG$62,0)),INDEX(Reorders!H$13:H$62,MATCH(13-COUNTIFS('New Tooling Jobs'!A$13:A$62,"&lt;&gt;",'New Tooling Jobs'!E$13:E$62,"&lt;&gt;Completed"),Reorders!AC$13:AC$62,0))),"")</f>
        <v/>
      </c>
      <c r="G22" s="41">
        <f>IFERROR(IF(13&lt;=COUNTIFS('New Tooling Jobs'!A$13:A$62,"&lt;&gt;",'New Tooling Jobs'!E$13:E$62,"&lt;&gt;Completed"),INDEX('New Tooling Jobs'!I$13:I$62,MATCH(13,'New Tooling Jobs'!AG$13:AG$62,0)),INDEX(Reorders!I$13:I$62,MATCH(13-COUNTIFS('New Tooling Jobs'!A$13:A$62,"&lt;&gt;",'New Tooling Jobs'!E$13:E$62,"&lt;&gt;Completed"),Reorders!AC$13:AC$62,0))),"")</f>
        <v/>
      </c>
    </row>
    <row r="23" ht="15" customHeight="1" s="25">
      <c r="A23" s="40">
        <f>IFERROR(IF(14&lt;=COUNTIFS('New Tooling Jobs'!A$13:A$62,"&lt;&gt;",'New Tooling Jobs'!E$13:E$62,"&lt;&gt;Completed"),INDEX('New Tooling Jobs'!A$13:A$62,MATCH(14,'New Tooling Jobs'!AG$13:AG$62,0)),INDEX(Reorders!A$13:A$62,MATCH(14-COUNTIFS('New Tooling Jobs'!A$13:A$62,"&lt;&gt;",'New Tooling Jobs'!E$13:E$62,"&lt;&gt;Completed"),Reorders!AC$13:AC$62,0))),"")</f>
        <v/>
      </c>
      <c r="B23" s="40">
        <f>IFERROR(IF(14&lt;=COUNTIFS('New Tooling Jobs'!A$13:A$62,"&lt;&gt;",'New Tooling Jobs'!E$13:E$62,"&lt;&gt;Completed"),IF(INDEX('New Tooling Jobs'!A$13:A$62,MATCH(14,'New Tooling Jobs'!AG$13:AG$62,0))&lt;&gt;"","New Tooling",""),IF(INDEX(Reorders!A$13:A$62,MATCH(14-COUNTIFS('New Tooling Jobs'!A$13:A$62,"&lt;&gt;",'New Tooling Jobs'!E$13:E$62,"&lt;&gt;Completed"),Reorders!AC$13:AC$62,0))&lt;&gt;"","Reorder","")),"")</f>
        <v/>
      </c>
      <c r="C23" s="41">
        <f>IFERROR(IF(14&lt;=COUNTIFS('New Tooling Jobs'!A$13:A$62,"&lt;&gt;",'New Tooling Jobs'!E$13:E$62,"&lt;&gt;Completed"),INDEX('New Tooling Jobs'!B$13:B$62,MATCH(14,'New Tooling Jobs'!AG$13:AG$62,0)),INDEX(Reorders!B$13:B$62,MATCH(14-COUNTIFS('New Tooling Jobs'!A$13:A$62,"&lt;&gt;",'New Tooling Jobs'!E$13:E$62,"&lt;&gt;Completed"),Reorders!AC$13:AC$62,0))),"")</f>
        <v/>
      </c>
      <c r="D23" s="41">
        <f>IFERROR(IF(14&lt;=COUNTIFS('New Tooling Jobs'!A$13:A$62,"&lt;&gt;",'New Tooling Jobs'!E$13:E$62,"&lt;&gt;Completed"),INDEX('New Tooling Jobs'!E$13:E$62,MATCH(14,'New Tooling Jobs'!AG$13:AG$62,0)),INDEX(Reorders!E$13:E$62,MATCH(14-COUNTIFS('New Tooling Jobs'!A$13:A$62,"&lt;&gt;",'New Tooling Jobs'!E$13:E$62,"&lt;&gt;Completed"),Reorders!AC$13:AC$62,0))),"")</f>
        <v/>
      </c>
      <c r="E23" s="40">
        <f>IFERROR(IF(14&lt;=COUNTIFS('New Tooling Jobs'!A$13:A$62,"&lt;&gt;",'New Tooling Jobs'!E$13:E$62,"&lt;&gt;Completed"),INDEX('New Tooling Jobs'!G$13:G$62,MATCH(14,'New Tooling Jobs'!AG$13:AG$62,0)),INDEX(Reorders!G$13:G$62,MATCH(14-COUNTIFS('New Tooling Jobs'!A$13:A$62,"&lt;&gt;",'New Tooling Jobs'!E$13:E$62,"&lt;&gt;Completed"),Reorders!AC$13:AC$62,0))),"")</f>
        <v/>
      </c>
      <c r="F23" s="40">
        <f>IFERROR(IF(14&lt;=COUNTIFS('New Tooling Jobs'!A$13:A$62,"&lt;&gt;",'New Tooling Jobs'!E$13:E$62,"&lt;&gt;Completed"),INDEX('New Tooling Jobs'!H$13:H$62,MATCH(14,'New Tooling Jobs'!AG$13:AG$62,0)),INDEX(Reorders!H$13:H$62,MATCH(14-COUNTIFS('New Tooling Jobs'!A$13:A$62,"&lt;&gt;",'New Tooling Jobs'!E$13:E$62,"&lt;&gt;Completed"),Reorders!AC$13:AC$62,0))),"")</f>
        <v/>
      </c>
      <c r="G23" s="41">
        <f>IFERROR(IF(14&lt;=COUNTIFS('New Tooling Jobs'!A$13:A$62,"&lt;&gt;",'New Tooling Jobs'!E$13:E$62,"&lt;&gt;Completed"),INDEX('New Tooling Jobs'!I$13:I$62,MATCH(14,'New Tooling Jobs'!AG$13:AG$62,0)),INDEX(Reorders!I$13:I$62,MATCH(14-COUNTIFS('New Tooling Jobs'!A$13:A$62,"&lt;&gt;",'New Tooling Jobs'!E$13:E$62,"&lt;&gt;Completed"),Reorders!AC$13:AC$62,0))),"")</f>
        <v/>
      </c>
    </row>
    <row r="24" ht="15" customHeight="1" s="25">
      <c r="A24" s="40">
        <f>IFERROR(IF(15&lt;=COUNTIFS('New Tooling Jobs'!A$13:A$62,"&lt;&gt;",'New Tooling Jobs'!E$13:E$62,"&lt;&gt;Completed"),INDEX('New Tooling Jobs'!A$13:A$62,MATCH(15,'New Tooling Jobs'!AG$13:AG$62,0)),INDEX(Reorders!A$13:A$62,MATCH(15-COUNTIFS('New Tooling Jobs'!A$13:A$62,"&lt;&gt;",'New Tooling Jobs'!E$13:E$62,"&lt;&gt;Completed"),Reorders!AC$13:AC$62,0))),"")</f>
        <v/>
      </c>
      <c r="B24" s="40">
        <f>IFERROR(IF(15&lt;=COUNTIFS('New Tooling Jobs'!A$13:A$62,"&lt;&gt;",'New Tooling Jobs'!E$13:E$62,"&lt;&gt;Completed"),IF(INDEX('New Tooling Jobs'!A$13:A$62,MATCH(15,'New Tooling Jobs'!AG$13:AG$62,0))&lt;&gt;"","New Tooling",""),IF(INDEX(Reorders!A$13:A$62,MATCH(15-COUNTIFS('New Tooling Jobs'!A$13:A$62,"&lt;&gt;",'New Tooling Jobs'!E$13:E$62,"&lt;&gt;Completed"),Reorders!AC$13:AC$62,0))&lt;&gt;"","Reorder","")),"")</f>
        <v/>
      </c>
      <c r="C24" s="41">
        <f>IFERROR(IF(15&lt;=COUNTIFS('New Tooling Jobs'!A$13:A$62,"&lt;&gt;",'New Tooling Jobs'!E$13:E$62,"&lt;&gt;Completed"),INDEX('New Tooling Jobs'!B$13:B$62,MATCH(15,'New Tooling Jobs'!AG$13:AG$62,0)),INDEX(Reorders!B$13:B$62,MATCH(15-COUNTIFS('New Tooling Jobs'!A$13:A$62,"&lt;&gt;",'New Tooling Jobs'!E$13:E$62,"&lt;&gt;Completed"),Reorders!AC$13:AC$62,0))),"")</f>
        <v/>
      </c>
      <c r="D24" s="41">
        <f>IFERROR(IF(15&lt;=COUNTIFS('New Tooling Jobs'!A$13:A$62,"&lt;&gt;",'New Tooling Jobs'!E$13:E$62,"&lt;&gt;Completed"),INDEX('New Tooling Jobs'!E$13:E$62,MATCH(15,'New Tooling Jobs'!AG$13:AG$62,0)),INDEX(Reorders!E$13:E$62,MATCH(15-COUNTIFS('New Tooling Jobs'!A$13:A$62,"&lt;&gt;",'New Tooling Jobs'!E$13:E$62,"&lt;&gt;Completed"),Reorders!AC$13:AC$62,0))),"")</f>
        <v/>
      </c>
      <c r="E24" s="40">
        <f>IFERROR(IF(15&lt;=COUNTIFS('New Tooling Jobs'!A$13:A$62,"&lt;&gt;",'New Tooling Jobs'!E$13:E$62,"&lt;&gt;Completed"),INDEX('New Tooling Jobs'!G$13:G$62,MATCH(15,'New Tooling Jobs'!AG$13:AG$62,0)),INDEX(Reorders!G$13:G$62,MATCH(15-COUNTIFS('New Tooling Jobs'!A$13:A$62,"&lt;&gt;",'New Tooling Jobs'!E$13:E$62,"&lt;&gt;Completed"),Reorders!AC$13:AC$62,0))),"")</f>
        <v/>
      </c>
      <c r="F24" s="40">
        <f>IFERROR(IF(15&lt;=COUNTIFS('New Tooling Jobs'!A$13:A$62,"&lt;&gt;",'New Tooling Jobs'!E$13:E$62,"&lt;&gt;Completed"),INDEX('New Tooling Jobs'!H$13:H$62,MATCH(15,'New Tooling Jobs'!AG$13:AG$62,0)),INDEX(Reorders!H$13:H$62,MATCH(15-COUNTIFS('New Tooling Jobs'!A$13:A$62,"&lt;&gt;",'New Tooling Jobs'!E$13:E$62,"&lt;&gt;Completed"),Reorders!AC$13:AC$62,0))),"")</f>
        <v/>
      </c>
      <c r="G24" s="41">
        <f>IFERROR(IF(15&lt;=COUNTIFS('New Tooling Jobs'!A$13:A$62,"&lt;&gt;",'New Tooling Jobs'!E$13:E$62,"&lt;&gt;Completed"),INDEX('New Tooling Jobs'!I$13:I$62,MATCH(15,'New Tooling Jobs'!AG$13:AG$62,0)),INDEX(Reorders!I$13:I$62,MATCH(15-COUNTIFS('New Tooling Jobs'!A$13:A$62,"&lt;&gt;",'New Tooling Jobs'!E$13:E$62,"&lt;&gt;Completed"),Reorders!AC$13:AC$62,0))),"")</f>
        <v/>
      </c>
    </row>
    <row r="25" ht="15" customHeight="1" s="25">
      <c r="A25" s="40">
        <f>IFERROR(IF(16&lt;=COUNTIFS('New Tooling Jobs'!A$13:A$62,"&lt;&gt;",'New Tooling Jobs'!E$13:E$62,"&lt;&gt;Completed"),INDEX('New Tooling Jobs'!A$13:A$62,MATCH(16,'New Tooling Jobs'!AG$13:AG$62,0)),INDEX(Reorders!A$13:A$62,MATCH(16-COUNTIFS('New Tooling Jobs'!A$13:A$62,"&lt;&gt;",'New Tooling Jobs'!E$13:E$62,"&lt;&gt;Completed"),Reorders!AC$13:AC$62,0))),"")</f>
        <v/>
      </c>
      <c r="B25" s="40">
        <f>IFERROR(IF(16&lt;=COUNTIFS('New Tooling Jobs'!A$13:A$62,"&lt;&gt;",'New Tooling Jobs'!E$13:E$62,"&lt;&gt;Completed"),IF(INDEX('New Tooling Jobs'!A$13:A$62,MATCH(16,'New Tooling Jobs'!AG$13:AG$62,0))&lt;&gt;"","New Tooling",""),IF(INDEX(Reorders!A$13:A$62,MATCH(16-COUNTIFS('New Tooling Jobs'!A$13:A$62,"&lt;&gt;",'New Tooling Jobs'!E$13:E$62,"&lt;&gt;Completed"),Reorders!AC$13:AC$62,0))&lt;&gt;"","Reorder","")),"")</f>
        <v/>
      </c>
      <c r="C25" s="41">
        <f>IFERROR(IF(16&lt;=COUNTIFS('New Tooling Jobs'!A$13:A$62,"&lt;&gt;",'New Tooling Jobs'!E$13:E$62,"&lt;&gt;Completed"),INDEX('New Tooling Jobs'!B$13:B$62,MATCH(16,'New Tooling Jobs'!AG$13:AG$62,0)),INDEX(Reorders!B$13:B$62,MATCH(16-COUNTIFS('New Tooling Jobs'!A$13:A$62,"&lt;&gt;",'New Tooling Jobs'!E$13:E$62,"&lt;&gt;Completed"),Reorders!AC$13:AC$62,0))),"")</f>
        <v/>
      </c>
      <c r="D25" s="41">
        <f>IFERROR(IF(16&lt;=COUNTIFS('New Tooling Jobs'!A$13:A$62,"&lt;&gt;",'New Tooling Jobs'!E$13:E$62,"&lt;&gt;Completed"),INDEX('New Tooling Jobs'!E$13:E$62,MATCH(16,'New Tooling Jobs'!AG$13:AG$62,0)),INDEX(Reorders!E$13:E$62,MATCH(16-COUNTIFS('New Tooling Jobs'!A$13:A$62,"&lt;&gt;",'New Tooling Jobs'!E$13:E$62,"&lt;&gt;Completed"),Reorders!AC$13:AC$62,0))),"")</f>
        <v/>
      </c>
      <c r="E25" s="40">
        <f>IFERROR(IF(16&lt;=COUNTIFS('New Tooling Jobs'!A$13:A$62,"&lt;&gt;",'New Tooling Jobs'!E$13:E$62,"&lt;&gt;Completed"),INDEX('New Tooling Jobs'!G$13:G$62,MATCH(16,'New Tooling Jobs'!AG$13:AG$62,0)),INDEX(Reorders!G$13:G$62,MATCH(16-COUNTIFS('New Tooling Jobs'!A$13:A$62,"&lt;&gt;",'New Tooling Jobs'!E$13:E$62,"&lt;&gt;Completed"),Reorders!AC$13:AC$62,0))),"")</f>
        <v/>
      </c>
      <c r="F25" s="40">
        <f>IFERROR(IF(16&lt;=COUNTIFS('New Tooling Jobs'!A$13:A$62,"&lt;&gt;",'New Tooling Jobs'!E$13:E$62,"&lt;&gt;Completed"),INDEX('New Tooling Jobs'!H$13:H$62,MATCH(16,'New Tooling Jobs'!AG$13:AG$62,0)),INDEX(Reorders!H$13:H$62,MATCH(16-COUNTIFS('New Tooling Jobs'!A$13:A$62,"&lt;&gt;",'New Tooling Jobs'!E$13:E$62,"&lt;&gt;Completed"),Reorders!AC$13:AC$62,0))),"")</f>
        <v/>
      </c>
      <c r="G25" s="41">
        <f>IFERROR(IF(16&lt;=COUNTIFS('New Tooling Jobs'!A$13:A$62,"&lt;&gt;",'New Tooling Jobs'!E$13:E$62,"&lt;&gt;Completed"),INDEX('New Tooling Jobs'!I$13:I$62,MATCH(16,'New Tooling Jobs'!AG$13:AG$62,0)),INDEX(Reorders!I$13:I$62,MATCH(16-COUNTIFS('New Tooling Jobs'!A$13:A$62,"&lt;&gt;",'New Tooling Jobs'!E$13:E$62,"&lt;&gt;Completed"),Reorders!AC$13:AC$62,0))),"")</f>
        <v/>
      </c>
    </row>
    <row r="26" ht="15" customHeight="1" s="25">
      <c r="A26" s="40">
        <f>IFERROR(IF(17&lt;=COUNTIFS('New Tooling Jobs'!A$13:A$62,"&lt;&gt;",'New Tooling Jobs'!E$13:E$62,"&lt;&gt;Completed"),INDEX('New Tooling Jobs'!A$13:A$62,MATCH(17,'New Tooling Jobs'!AG$13:AG$62,0)),INDEX(Reorders!A$13:A$62,MATCH(17-COUNTIFS('New Tooling Jobs'!A$13:A$62,"&lt;&gt;",'New Tooling Jobs'!E$13:E$62,"&lt;&gt;Completed"),Reorders!AC$13:AC$62,0))),"")</f>
        <v/>
      </c>
      <c r="B26" s="40">
        <f>IFERROR(IF(17&lt;=COUNTIFS('New Tooling Jobs'!A$13:A$62,"&lt;&gt;",'New Tooling Jobs'!E$13:E$62,"&lt;&gt;Completed"),IF(INDEX('New Tooling Jobs'!A$13:A$62,MATCH(17,'New Tooling Jobs'!AG$13:AG$62,0))&lt;&gt;"","New Tooling",""),IF(INDEX(Reorders!A$13:A$62,MATCH(17-COUNTIFS('New Tooling Jobs'!A$13:A$62,"&lt;&gt;",'New Tooling Jobs'!E$13:E$62,"&lt;&gt;Completed"),Reorders!AC$13:AC$62,0))&lt;&gt;"","Reorder","")),"")</f>
        <v/>
      </c>
      <c r="C26" s="41">
        <f>IFERROR(IF(17&lt;=COUNTIFS('New Tooling Jobs'!A$13:A$62,"&lt;&gt;",'New Tooling Jobs'!E$13:E$62,"&lt;&gt;Completed"),INDEX('New Tooling Jobs'!B$13:B$62,MATCH(17,'New Tooling Jobs'!AG$13:AG$62,0)),INDEX(Reorders!B$13:B$62,MATCH(17-COUNTIFS('New Tooling Jobs'!A$13:A$62,"&lt;&gt;",'New Tooling Jobs'!E$13:E$62,"&lt;&gt;Completed"),Reorders!AC$13:AC$62,0))),"")</f>
        <v/>
      </c>
      <c r="D26" s="41">
        <f>IFERROR(IF(17&lt;=COUNTIFS('New Tooling Jobs'!A$13:A$62,"&lt;&gt;",'New Tooling Jobs'!E$13:E$62,"&lt;&gt;Completed"),INDEX('New Tooling Jobs'!E$13:E$62,MATCH(17,'New Tooling Jobs'!AG$13:AG$62,0)),INDEX(Reorders!E$13:E$62,MATCH(17-COUNTIFS('New Tooling Jobs'!A$13:A$62,"&lt;&gt;",'New Tooling Jobs'!E$13:E$62,"&lt;&gt;Completed"),Reorders!AC$13:AC$62,0))),"")</f>
        <v/>
      </c>
      <c r="E26" s="40">
        <f>IFERROR(IF(17&lt;=COUNTIFS('New Tooling Jobs'!A$13:A$62,"&lt;&gt;",'New Tooling Jobs'!E$13:E$62,"&lt;&gt;Completed"),INDEX('New Tooling Jobs'!G$13:G$62,MATCH(17,'New Tooling Jobs'!AG$13:AG$62,0)),INDEX(Reorders!G$13:G$62,MATCH(17-COUNTIFS('New Tooling Jobs'!A$13:A$62,"&lt;&gt;",'New Tooling Jobs'!E$13:E$62,"&lt;&gt;Completed"),Reorders!AC$13:AC$62,0))),"")</f>
        <v/>
      </c>
      <c r="F26" s="40">
        <f>IFERROR(IF(17&lt;=COUNTIFS('New Tooling Jobs'!A$13:A$62,"&lt;&gt;",'New Tooling Jobs'!E$13:E$62,"&lt;&gt;Completed"),INDEX('New Tooling Jobs'!H$13:H$62,MATCH(17,'New Tooling Jobs'!AG$13:AG$62,0)),INDEX(Reorders!H$13:H$62,MATCH(17-COUNTIFS('New Tooling Jobs'!A$13:A$62,"&lt;&gt;",'New Tooling Jobs'!E$13:E$62,"&lt;&gt;Completed"),Reorders!AC$13:AC$62,0))),"")</f>
        <v/>
      </c>
      <c r="G26" s="41">
        <f>IFERROR(IF(17&lt;=COUNTIFS('New Tooling Jobs'!A$13:A$62,"&lt;&gt;",'New Tooling Jobs'!E$13:E$62,"&lt;&gt;Completed"),INDEX('New Tooling Jobs'!I$13:I$62,MATCH(17,'New Tooling Jobs'!AG$13:AG$62,0)),INDEX(Reorders!I$13:I$62,MATCH(17-COUNTIFS('New Tooling Jobs'!A$13:A$62,"&lt;&gt;",'New Tooling Jobs'!E$13:E$62,"&lt;&gt;Completed"),Reorders!AC$13:AC$62,0))),"")</f>
        <v/>
      </c>
    </row>
    <row r="27" ht="15" customHeight="1" s="25">
      <c r="A27" s="40">
        <f>IFERROR(IF(18&lt;=COUNTIFS('New Tooling Jobs'!A$13:A$62,"&lt;&gt;",'New Tooling Jobs'!E$13:E$62,"&lt;&gt;Completed"),INDEX('New Tooling Jobs'!A$13:A$62,MATCH(18,'New Tooling Jobs'!AG$13:AG$62,0)),INDEX(Reorders!A$13:A$62,MATCH(18-COUNTIFS('New Tooling Jobs'!A$13:A$62,"&lt;&gt;",'New Tooling Jobs'!E$13:E$62,"&lt;&gt;Completed"),Reorders!AC$13:AC$62,0))),"")</f>
        <v/>
      </c>
      <c r="B27" s="40">
        <f>IFERROR(IF(18&lt;=COUNTIFS('New Tooling Jobs'!A$13:A$62,"&lt;&gt;",'New Tooling Jobs'!E$13:E$62,"&lt;&gt;Completed"),IF(INDEX('New Tooling Jobs'!A$13:A$62,MATCH(18,'New Tooling Jobs'!AG$13:AG$62,0))&lt;&gt;"","New Tooling",""),IF(INDEX(Reorders!A$13:A$62,MATCH(18-COUNTIFS('New Tooling Jobs'!A$13:A$62,"&lt;&gt;",'New Tooling Jobs'!E$13:E$62,"&lt;&gt;Completed"),Reorders!AC$13:AC$62,0))&lt;&gt;"","Reorder","")),"")</f>
        <v/>
      </c>
      <c r="C27" s="41">
        <f>IFERROR(IF(18&lt;=COUNTIFS('New Tooling Jobs'!A$13:A$62,"&lt;&gt;",'New Tooling Jobs'!E$13:E$62,"&lt;&gt;Completed"),INDEX('New Tooling Jobs'!B$13:B$62,MATCH(18,'New Tooling Jobs'!AG$13:AG$62,0)),INDEX(Reorders!B$13:B$62,MATCH(18-COUNTIFS('New Tooling Jobs'!A$13:A$62,"&lt;&gt;",'New Tooling Jobs'!E$13:E$62,"&lt;&gt;Completed"),Reorders!AC$13:AC$62,0))),"")</f>
        <v/>
      </c>
      <c r="D27" s="41">
        <f>IFERROR(IF(18&lt;=COUNTIFS('New Tooling Jobs'!A$13:A$62,"&lt;&gt;",'New Tooling Jobs'!E$13:E$62,"&lt;&gt;Completed"),INDEX('New Tooling Jobs'!E$13:E$62,MATCH(18,'New Tooling Jobs'!AG$13:AG$62,0)),INDEX(Reorders!E$13:E$62,MATCH(18-COUNTIFS('New Tooling Jobs'!A$13:A$62,"&lt;&gt;",'New Tooling Jobs'!E$13:E$62,"&lt;&gt;Completed"),Reorders!AC$13:AC$62,0))),"")</f>
        <v/>
      </c>
      <c r="E27" s="40">
        <f>IFERROR(IF(18&lt;=COUNTIFS('New Tooling Jobs'!A$13:A$62,"&lt;&gt;",'New Tooling Jobs'!E$13:E$62,"&lt;&gt;Completed"),INDEX('New Tooling Jobs'!G$13:G$62,MATCH(18,'New Tooling Jobs'!AG$13:AG$62,0)),INDEX(Reorders!G$13:G$62,MATCH(18-COUNTIFS('New Tooling Jobs'!A$13:A$62,"&lt;&gt;",'New Tooling Jobs'!E$13:E$62,"&lt;&gt;Completed"),Reorders!AC$13:AC$62,0))),"")</f>
        <v/>
      </c>
      <c r="F27" s="40">
        <f>IFERROR(IF(18&lt;=COUNTIFS('New Tooling Jobs'!A$13:A$62,"&lt;&gt;",'New Tooling Jobs'!E$13:E$62,"&lt;&gt;Completed"),INDEX('New Tooling Jobs'!H$13:H$62,MATCH(18,'New Tooling Jobs'!AG$13:AG$62,0)),INDEX(Reorders!H$13:H$62,MATCH(18-COUNTIFS('New Tooling Jobs'!A$13:A$62,"&lt;&gt;",'New Tooling Jobs'!E$13:E$62,"&lt;&gt;Completed"),Reorders!AC$13:AC$62,0))),"")</f>
        <v/>
      </c>
      <c r="G27" s="41">
        <f>IFERROR(IF(18&lt;=COUNTIFS('New Tooling Jobs'!A$13:A$62,"&lt;&gt;",'New Tooling Jobs'!E$13:E$62,"&lt;&gt;Completed"),INDEX('New Tooling Jobs'!I$13:I$62,MATCH(18,'New Tooling Jobs'!AG$13:AG$62,0)),INDEX(Reorders!I$13:I$62,MATCH(18-COUNTIFS('New Tooling Jobs'!A$13:A$62,"&lt;&gt;",'New Tooling Jobs'!E$13:E$62,"&lt;&gt;Completed"),Reorders!AC$13:AC$62,0))),"")</f>
        <v/>
      </c>
    </row>
    <row r="28" ht="15" customHeight="1" s="25">
      <c r="A28" s="40">
        <f>IFERROR(IF(19&lt;=COUNTIFS('New Tooling Jobs'!A$13:A$62,"&lt;&gt;",'New Tooling Jobs'!E$13:E$62,"&lt;&gt;Completed"),INDEX('New Tooling Jobs'!A$13:A$62,MATCH(19,'New Tooling Jobs'!AG$13:AG$62,0)),INDEX(Reorders!A$13:A$62,MATCH(19-COUNTIFS('New Tooling Jobs'!A$13:A$62,"&lt;&gt;",'New Tooling Jobs'!E$13:E$62,"&lt;&gt;Completed"),Reorders!AC$13:AC$62,0))),"")</f>
        <v/>
      </c>
      <c r="B28" s="40">
        <f>IFERROR(IF(19&lt;=COUNTIFS('New Tooling Jobs'!A$13:A$62,"&lt;&gt;",'New Tooling Jobs'!E$13:E$62,"&lt;&gt;Completed"),IF(INDEX('New Tooling Jobs'!A$13:A$62,MATCH(19,'New Tooling Jobs'!AG$13:AG$62,0))&lt;&gt;"","New Tooling",""),IF(INDEX(Reorders!A$13:A$62,MATCH(19-COUNTIFS('New Tooling Jobs'!A$13:A$62,"&lt;&gt;",'New Tooling Jobs'!E$13:E$62,"&lt;&gt;Completed"),Reorders!AC$13:AC$62,0))&lt;&gt;"","Reorder","")),"")</f>
        <v/>
      </c>
      <c r="C28" s="41">
        <f>IFERROR(IF(19&lt;=COUNTIFS('New Tooling Jobs'!A$13:A$62,"&lt;&gt;",'New Tooling Jobs'!E$13:E$62,"&lt;&gt;Completed"),INDEX('New Tooling Jobs'!B$13:B$62,MATCH(19,'New Tooling Jobs'!AG$13:AG$62,0)),INDEX(Reorders!B$13:B$62,MATCH(19-COUNTIFS('New Tooling Jobs'!A$13:A$62,"&lt;&gt;",'New Tooling Jobs'!E$13:E$62,"&lt;&gt;Completed"),Reorders!AC$13:AC$62,0))),"")</f>
        <v/>
      </c>
      <c r="D28" s="41">
        <f>IFERROR(IF(19&lt;=COUNTIFS('New Tooling Jobs'!A$13:A$62,"&lt;&gt;",'New Tooling Jobs'!E$13:E$62,"&lt;&gt;Completed"),INDEX('New Tooling Jobs'!E$13:E$62,MATCH(19,'New Tooling Jobs'!AG$13:AG$62,0)),INDEX(Reorders!E$13:E$62,MATCH(19-COUNTIFS('New Tooling Jobs'!A$13:A$62,"&lt;&gt;",'New Tooling Jobs'!E$13:E$62,"&lt;&gt;Completed"),Reorders!AC$13:AC$62,0))),"")</f>
        <v/>
      </c>
      <c r="E28" s="40">
        <f>IFERROR(IF(19&lt;=COUNTIFS('New Tooling Jobs'!A$13:A$62,"&lt;&gt;",'New Tooling Jobs'!E$13:E$62,"&lt;&gt;Completed"),INDEX('New Tooling Jobs'!G$13:G$62,MATCH(19,'New Tooling Jobs'!AG$13:AG$62,0)),INDEX(Reorders!G$13:G$62,MATCH(19-COUNTIFS('New Tooling Jobs'!A$13:A$62,"&lt;&gt;",'New Tooling Jobs'!E$13:E$62,"&lt;&gt;Completed"),Reorders!AC$13:AC$62,0))),"")</f>
        <v/>
      </c>
      <c r="F28" s="40">
        <f>IFERROR(IF(19&lt;=COUNTIFS('New Tooling Jobs'!A$13:A$62,"&lt;&gt;",'New Tooling Jobs'!E$13:E$62,"&lt;&gt;Completed"),INDEX('New Tooling Jobs'!H$13:H$62,MATCH(19,'New Tooling Jobs'!AG$13:AG$62,0)),INDEX(Reorders!H$13:H$62,MATCH(19-COUNTIFS('New Tooling Jobs'!A$13:A$62,"&lt;&gt;",'New Tooling Jobs'!E$13:E$62,"&lt;&gt;Completed"),Reorders!AC$13:AC$62,0))),"")</f>
        <v/>
      </c>
      <c r="G28" s="41">
        <f>IFERROR(IF(19&lt;=COUNTIFS('New Tooling Jobs'!A$13:A$62,"&lt;&gt;",'New Tooling Jobs'!E$13:E$62,"&lt;&gt;Completed"),INDEX('New Tooling Jobs'!I$13:I$62,MATCH(19,'New Tooling Jobs'!AG$13:AG$62,0)),INDEX(Reorders!I$13:I$62,MATCH(19-COUNTIFS('New Tooling Jobs'!A$13:A$62,"&lt;&gt;",'New Tooling Jobs'!E$13:E$62,"&lt;&gt;Completed"),Reorders!AC$13:AC$62,0))),"")</f>
        <v/>
      </c>
    </row>
    <row r="29" ht="15" customHeight="1" s="25">
      <c r="A29" s="40">
        <f>IFERROR(IF(20&lt;=COUNTIFS('New Tooling Jobs'!A$13:A$62,"&lt;&gt;",'New Tooling Jobs'!E$13:E$62,"&lt;&gt;Completed"),INDEX('New Tooling Jobs'!A$13:A$62,MATCH(20,'New Tooling Jobs'!AG$13:AG$62,0)),INDEX(Reorders!A$13:A$62,MATCH(20-COUNTIFS('New Tooling Jobs'!A$13:A$62,"&lt;&gt;",'New Tooling Jobs'!E$13:E$62,"&lt;&gt;Completed"),Reorders!AC$13:AC$62,0))),"")</f>
        <v/>
      </c>
      <c r="B29" s="40">
        <f>IFERROR(IF(20&lt;=COUNTIFS('New Tooling Jobs'!A$13:A$62,"&lt;&gt;",'New Tooling Jobs'!E$13:E$62,"&lt;&gt;Completed"),IF(INDEX('New Tooling Jobs'!A$13:A$62,MATCH(20,'New Tooling Jobs'!AG$13:AG$62,0))&lt;&gt;"","New Tooling",""),IF(INDEX(Reorders!A$13:A$62,MATCH(20-COUNTIFS('New Tooling Jobs'!A$13:A$62,"&lt;&gt;",'New Tooling Jobs'!E$13:E$62,"&lt;&gt;Completed"),Reorders!AC$13:AC$62,0))&lt;&gt;"","Reorder","")),"")</f>
        <v/>
      </c>
      <c r="C29" s="41">
        <f>IFERROR(IF(20&lt;=COUNTIFS('New Tooling Jobs'!A$13:A$62,"&lt;&gt;",'New Tooling Jobs'!E$13:E$62,"&lt;&gt;Completed"),INDEX('New Tooling Jobs'!B$13:B$62,MATCH(20,'New Tooling Jobs'!AG$13:AG$62,0)),INDEX(Reorders!B$13:B$62,MATCH(20-COUNTIFS('New Tooling Jobs'!A$13:A$62,"&lt;&gt;",'New Tooling Jobs'!E$13:E$62,"&lt;&gt;Completed"),Reorders!AC$13:AC$62,0))),"")</f>
        <v/>
      </c>
      <c r="D29" s="41">
        <f>IFERROR(IF(20&lt;=COUNTIFS('New Tooling Jobs'!A$13:A$62,"&lt;&gt;",'New Tooling Jobs'!E$13:E$62,"&lt;&gt;Completed"),INDEX('New Tooling Jobs'!E$13:E$62,MATCH(20,'New Tooling Jobs'!AG$13:AG$62,0)),INDEX(Reorders!E$13:E$62,MATCH(20-COUNTIFS('New Tooling Jobs'!A$13:A$62,"&lt;&gt;",'New Tooling Jobs'!E$13:E$62,"&lt;&gt;Completed"),Reorders!AC$13:AC$62,0))),"")</f>
        <v/>
      </c>
      <c r="E29" s="40">
        <f>IFERROR(IF(20&lt;=COUNTIFS('New Tooling Jobs'!A$13:A$62,"&lt;&gt;",'New Tooling Jobs'!E$13:E$62,"&lt;&gt;Completed"),INDEX('New Tooling Jobs'!G$13:G$62,MATCH(20,'New Tooling Jobs'!AG$13:AG$62,0)),INDEX(Reorders!G$13:G$62,MATCH(20-COUNTIFS('New Tooling Jobs'!A$13:A$62,"&lt;&gt;",'New Tooling Jobs'!E$13:E$62,"&lt;&gt;Completed"),Reorders!AC$13:AC$62,0))),"")</f>
        <v/>
      </c>
      <c r="F29" s="40">
        <f>IFERROR(IF(20&lt;=COUNTIFS('New Tooling Jobs'!A$13:A$62,"&lt;&gt;",'New Tooling Jobs'!E$13:E$62,"&lt;&gt;Completed"),INDEX('New Tooling Jobs'!H$13:H$62,MATCH(20,'New Tooling Jobs'!AG$13:AG$62,0)),INDEX(Reorders!H$13:H$62,MATCH(20-COUNTIFS('New Tooling Jobs'!A$13:A$62,"&lt;&gt;",'New Tooling Jobs'!E$13:E$62,"&lt;&gt;Completed"),Reorders!AC$13:AC$62,0))),"")</f>
        <v/>
      </c>
      <c r="G29" s="41">
        <f>IFERROR(IF(20&lt;=COUNTIFS('New Tooling Jobs'!A$13:A$62,"&lt;&gt;",'New Tooling Jobs'!E$13:E$62,"&lt;&gt;Completed"),INDEX('New Tooling Jobs'!I$13:I$62,MATCH(20,'New Tooling Jobs'!AG$13:AG$62,0)),INDEX(Reorders!I$13:I$62,MATCH(20-COUNTIFS('New Tooling Jobs'!A$13:A$62,"&lt;&gt;",'New Tooling Jobs'!E$13:E$62,"&lt;&gt;Completed"),Reorders!AC$13:AC$62,0))),"")</f>
        <v/>
      </c>
    </row>
    <row r="30" ht="15" customHeight="1" s="25">
      <c r="A30" s="40">
        <f>IFERROR(IF(21&lt;=COUNTIFS('New Tooling Jobs'!A$13:A$62,"&lt;&gt;",'New Tooling Jobs'!E$13:E$62,"&lt;&gt;Completed"),INDEX('New Tooling Jobs'!A$13:A$62,MATCH(21,'New Tooling Jobs'!AG$13:AG$62,0)),INDEX(Reorders!A$13:A$62,MATCH(21-COUNTIFS('New Tooling Jobs'!A$13:A$62,"&lt;&gt;",'New Tooling Jobs'!E$13:E$62,"&lt;&gt;Completed"),Reorders!AC$13:AC$62,0))),"")</f>
        <v/>
      </c>
      <c r="B30" s="40">
        <f>IFERROR(IF(21&lt;=COUNTIFS('New Tooling Jobs'!A$13:A$62,"&lt;&gt;",'New Tooling Jobs'!E$13:E$62,"&lt;&gt;Completed"),IF(INDEX('New Tooling Jobs'!A$13:A$62,MATCH(21,'New Tooling Jobs'!AG$13:AG$62,0))&lt;&gt;"","New Tooling",""),IF(INDEX(Reorders!A$13:A$62,MATCH(21-COUNTIFS('New Tooling Jobs'!A$13:A$62,"&lt;&gt;",'New Tooling Jobs'!E$13:E$62,"&lt;&gt;Completed"),Reorders!AC$13:AC$62,0))&lt;&gt;"","Reorder","")),"")</f>
        <v/>
      </c>
      <c r="C30" s="41">
        <f>IFERROR(IF(21&lt;=COUNTIFS('New Tooling Jobs'!A$13:A$62,"&lt;&gt;",'New Tooling Jobs'!E$13:E$62,"&lt;&gt;Completed"),INDEX('New Tooling Jobs'!B$13:B$62,MATCH(21,'New Tooling Jobs'!AG$13:AG$62,0)),INDEX(Reorders!B$13:B$62,MATCH(21-COUNTIFS('New Tooling Jobs'!A$13:A$62,"&lt;&gt;",'New Tooling Jobs'!E$13:E$62,"&lt;&gt;Completed"),Reorders!AC$13:AC$62,0))),"")</f>
        <v/>
      </c>
      <c r="D30" s="41">
        <f>IFERROR(IF(21&lt;=COUNTIFS('New Tooling Jobs'!A$13:A$62,"&lt;&gt;",'New Tooling Jobs'!E$13:E$62,"&lt;&gt;Completed"),INDEX('New Tooling Jobs'!E$13:E$62,MATCH(21,'New Tooling Jobs'!AG$13:AG$62,0)),INDEX(Reorders!E$13:E$62,MATCH(21-COUNTIFS('New Tooling Jobs'!A$13:A$62,"&lt;&gt;",'New Tooling Jobs'!E$13:E$62,"&lt;&gt;Completed"),Reorders!AC$13:AC$62,0))),"")</f>
        <v/>
      </c>
      <c r="E30" s="40">
        <f>IFERROR(IF(21&lt;=COUNTIFS('New Tooling Jobs'!A$13:A$62,"&lt;&gt;",'New Tooling Jobs'!E$13:E$62,"&lt;&gt;Completed"),INDEX('New Tooling Jobs'!G$13:G$62,MATCH(21,'New Tooling Jobs'!AG$13:AG$62,0)),INDEX(Reorders!G$13:G$62,MATCH(21-COUNTIFS('New Tooling Jobs'!A$13:A$62,"&lt;&gt;",'New Tooling Jobs'!E$13:E$62,"&lt;&gt;Completed"),Reorders!AC$13:AC$62,0))),"")</f>
        <v/>
      </c>
      <c r="F30" s="40">
        <f>IFERROR(IF(21&lt;=COUNTIFS('New Tooling Jobs'!A$13:A$62,"&lt;&gt;",'New Tooling Jobs'!E$13:E$62,"&lt;&gt;Completed"),INDEX('New Tooling Jobs'!H$13:H$62,MATCH(21,'New Tooling Jobs'!AG$13:AG$62,0)),INDEX(Reorders!H$13:H$62,MATCH(21-COUNTIFS('New Tooling Jobs'!A$13:A$62,"&lt;&gt;",'New Tooling Jobs'!E$13:E$62,"&lt;&gt;Completed"),Reorders!AC$13:AC$62,0))),"")</f>
        <v/>
      </c>
      <c r="G30" s="41">
        <f>IFERROR(IF(21&lt;=COUNTIFS('New Tooling Jobs'!A$13:A$62,"&lt;&gt;",'New Tooling Jobs'!E$13:E$62,"&lt;&gt;Completed"),INDEX('New Tooling Jobs'!I$13:I$62,MATCH(21,'New Tooling Jobs'!AG$13:AG$62,0)),INDEX(Reorders!I$13:I$62,MATCH(21-COUNTIFS('New Tooling Jobs'!A$13:A$62,"&lt;&gt;",'New Tooling Jobs'!E$13:E$62,"&lt;&gt;Completed"),Reorders!AC$13:AC$62,0))),"")</f>
        <v/>
      </c>
    </row>
    <row r="31" ht="15" customHeight="1" s="25">
      <c r="A31" s="40">
        <f>IFERROR(IF(22&lt;=COUNTIFS('New Tooling Jobs'!A$13:A$62,"&lt;&gt;",'New Tooling Jobs'!E$13:E$62,"&lt;&gt;Completed"),INDEX('New Tooling Jobs'!A$13:A$62,MATCH(22,'New Tooling Jobs'!AG$13:AG$62,0)),INDEX(Reorders!A$13:A$62,MATCH(22-COUNTIFS('New Tooling Jobs'!A$13:A$62,"&lt;&gt;",'New Tooling Jobs'!E$13:E$62,"&lt;&gt;Completed"),Reorders!AC$13:AC$62,0))),"")</f>
        <v/>
      </c>
      <c r="B31" s="40">
        <f>IFERROR(IF(22&lt;=COUNTIFS('New Tooling Jobs'!A$13:A$62,"&lt;&gt;",'New Tooling Jobs'!E$13:E$62,"&lt;&gt;Completed"),IF(INDEX('New Tooling Jobs'!A$13:A$62,MATCH(22,'New Tooling Jobs'!AG$13:AG$62,0))&lt;&gt;"","New Tooling",""),IF(INDEX(Reorders!A$13:A$62,MATCH(22-COUNTIFS('New Tooling Jobs'!A$13:A$62,"&lt;&gt;",'New Tooling Jobs'!E$13:E$62,"&lt;&gt;Completed"),Reorders!AC$13:AC$62,0))&lt;&gt;"","Reorder","")),"")</f>
        <v/>
      </c>
      <c r="C31" s="41">
        <f>IFERROR(IF(22&lt;=COUNTIFS('New Tooling Jobs'!A$13:A$62,"&lt;&gt;",'New Tooling Jobs'!E$13:E$62,"&lt;&gt;Completed"),INDEX('New Tooling Jobs'!B$13:B$62,MATCH(22,'New Tooling Jobs'!AG$13:AG$62,0)),INDEX(Reorders!B$13:B$62,MATCH(22-COUNTIFS('New Tooling Jobs'!A$13:A$62,"&lt;&gt;",'New Tooling Jobs'!E$13:E$62,"&lt;&gt;Completed"),Reorders!AC$13:AC$62,0))),"")</f>
        <v/>
      </c>
      <c r="D31" s="41">
        <f>IFERROR(IF(22&lt;=COUNTIFS('New Tooling Jobs'!A$13:A$62,"&lt;&gt;",'New Tooling Jobs'!E$13:E$62,"&lt;&gt;Completed"),INDEX('New Tooling Jobs'!E$13:E$62,MATCH(22,'New Tooling Jobs'!AG$13:AG$62,0)),INDEX(Reorders!E$13:E$62,MATCH(22-COUNTIFS('New Tooling Jobs'!A$13:A$62,"&lt;&gt;",'New Tooling Jobs'!E$13:E$62,"&lt;&gt;Completed"),Reorders!AC$13:AC$62,0))),"")</f>
        <v/>
      </c>
      <c r="E31" s="40">
        <f>IFERROR(IF(22&lt;=COUNTIFS('New Tooling Jobs'!A$13:A$62,"&lt;&gt;",'New Tooling Jobs'!E$13:E$62,"&lt;&gt;Completed"),INDEX('New Tooling Jobs'!G$13:G$62,MATCH(22,'New Tooling Jobs'!AG$13:AG$62,0)),INDEX(Reorders!G$13:G$62,MATCH(22-COUNTIFS('New Tooling Jobs'!A$13:A$62,"&lt;&gt;",'New Tooling Jobs'!E$13:E$62,"&lt;&gt;Completed"),Reorders!AC$13:AC$62,0))),"")</f>
        <v/>
      </c>
      <c r="F31" s="40">
        <f>IFERROR(IF(22&lt;=COUNTIFS('New Tooling Jobs'!A$13:A$62,"&lt;&gt;",'New Tooling Jobs'!E$13:E$62,"&lt;&gt;Completed"),INDEX('New Tooling Jobs'!H$13:H$62,MATCH(22,'New Tooling Jobs'!AG$13:AG$62,0)),INDEX(Reorders!H$13:H$62,MATCH(22-COUNTIFS('New Tooling Jobs'!A$13:A$62,"&lt;&gt;",'New Tooling Jobs'!E$13:E$62,"&lt;&gt;Completed"),Reorders!AC$13:AC$62,0))),"")</f>
        <v/>
      </c>
      <c r="G31" s="41">
        <f>IFERROR(IF(22&lt;=COUNTIFS('New Tooling Jobs'!A$13:A$62,"&lt;&gt;",'New Tooling Jobs'!E$13:E$62,"&lt;&gt;Completed"),INDEX('New Tooling Jobs'!I$13:I$62,MATCH(22,'New Tooling Jobs'!AG$13:AG$62,0)),INDEX(Reorders!I$13:I$62,MATCH(22-COUNTIFS('New Tooling Jobs'!A$13:A$62,"&lt;&gt;",'New Tooling Jobs'!E$13:E$62,"&lt;&gt;Completed"),Reorders!AC$13:AC$62,0))),"")</f>
        <v/>
      </c>
    </row>
    <row r="32" ht="15" customHeight="1" s="25">
      <c r="A32" s="40">
        <f>IFERROR(IF(23&lt;=COUNTIFS('New Tooling Jobs'!A$13:A$62,"&lt;&gt;",'New Tooling Jobs'!E$13:E$62,"&lt;&gt;Completed"),INDEX('New Tooling Jobs'!A$13:A$62,MATCH(23,'New Tooling Jobs'!AG$13:AG$62,0)),INDEX(Reorders!A$13:A$62,MATCH(23-COUNTIFS('New Tooling Jobs'!A$13:A$62,"&lt;&gt;",'New Tooling Jobs'!E$13:E$62,"&lt;&gt;Completed"),Reorders!AC$13:AC$62,0))),"")</f>
        <v/>
      </c>
      <c r="B32" s="40">
        <f>IFERROR(IF(23&lt;=COUNTIFS('New Tooling Jobs'!A$13:A$62,"&lt;&gt;",'New Tooling Jobs'!E$13:E$62,"&lt;&gt;Completed"),IF(INDEX('New Tooling Jobs'!A$13:A$62,MATCH(23,'New Tooling Jobs'!AG$13:AG$62,0))&lt;&gt;"","New Tooling",""),IF(INDEX(Reorders!A$13:A$62,MATCH(23-COUNTIFS('New Tooling Jobs'!A$13:A$62,"&lt;&gt;",'New Tooling Jobs'!E$13:E$62,"&lt;&gt;Completed"),Reorders!AC$13:AC$62,0))&lt;&gt;"","Reorder","")),"")</f>
        <v/>
      </c>
      <c r="C32" s="41">
        <f>IFERROR(IF(23&lt;=COUNTIFS('New Tooling Jobs'!A$13:A$62,"&lt;&gt;",'New Tooling Jobs'!E$13:E$62,"&lt;&gt;Completed"),INDEX('New Tooling Jobs'!B$13:B$62,MATCH(23,'New Tooling Jobs'!AG$13:AG$62,0)),INDEX(Reorders!B$13:B$62,MATCH(23-COUNTIFS('New Tooling Jobs'!A$13:A$62,"&lt;&gt;",'New Tooling Jobs'!E$13:E$62,"&lt;&gt;Completed"),Reorders!AC$13:AC$62,0))),"")</f>
        <v/>
      </c>
      <c r="D32" s="41">
        <f>IFERROR(IF(23&lt;=COUNTIFS('New Tooling Jobs'!A$13:A$62,"&lt;&gt;",'New Tooling Jobs'!E$13:E$62,"&lt;&gt;Completed"),INDEX('New Tooling Jobs'!E$13:E$62,MATCH(23,'New Tooling Jobs'!AG$13:AG$62,0)),INDEX(Reorders!E$13:E$62,MATCH(23-COUNTIFS('New Tooling Jobs'!A$13:A$62,"&lt;&gt;",'New Tooling Jobs'!E$13:E$62,"&lt;&gt;Completed"),Reorders!AC$13:AC$62,0))),"")</f>
        <v/>
      </c>
      <c r="E32" s="40">
        <f>IFERROR(IF(23&lt;=COUNTIFS('New Tooling Jobs'!A$13:A$62,"&lt;&gt;",'New Tooling Jobs'!E$13:E$62,"&lt;&gt;Completed"),INDEX('New Tooling Jobs'!G$13:G$62,MATCH(23,'New Tooling Jobs'!AG$13:AG$62,0)),INDEX(Reorders!G$13:G$62,MATCH(23-COUNTIFS('New Tooling Jobs'!A$13:A$62,"&lt;&gt;",'New Tooling Jobs'!E$13:E$62,"&lt;&gt;Completed"),Reorders!AC$13:AC$62,0))),"")</f>
        <v/>
      </c>
      <c r="F32" s="40">
        <f>IFERROR(IF(23&lt;=COUNTIFS('New Tooling Jobs'!A$13:A$62,"&lt;&gt;",'New Tooling Jobs'!E$13:E$62,"&lt;&gt;Completed"),INDEX('New Tooling Jobs'!H$13:H$62,MATCH(23,'New Tooling Jobs'!AG$13:AG$62,0)),INDEX(Reorders!H$13:H$62,MATCH(23-COUNTIFS('New Tooling Jobs'!A$13:A$62,"&lt;&gt;",'New Tooling Jobs'!E$13:E$62,"&lt;&gt;Completed"),Reorders!AC$13:AC$62,0))),"")</f>
        <v/>
      </c>
      <c r="G32" s="41">
        <f>IFERROR(IF(23&lt;=COUNTIFS('New Tooling Jobs'!A$13:A$62,"&lt;&gt;",'New Tooling Jobs'!E$13:E$62,"&lt;&gt;Completed"),INDEX('New Tooling Jobs'!I$13:I$62,MATCH(23,'New Tooling Jobs'!AG$13:AG$62,0)),INDEX(Reorders!I$13:I$62,MATCH(23-COUNTIFS('New Tooling Jobs'!A$13:A$62,"&lt;&gt;",'New Tooling Jobs'!E$13:E$62,"&lt;&gt;Completed"),Reorders!AC$13:AC$62,0))),"")</f>
        <v/>
      </c>
    </row>
    <row r="33" ht="15" customHeight="1" s="25">
      <c r="A33" s="40">
        <f>IFERROR(IF(24&lt;=COUNTIFS('New Tooling Jobs'!A$13:A$62,"&lt;&gt;",'New Tooling Jobs'!E$13:E$62,"&lt;&gt;Completed"),INDEX('New Tooling Jobs'!A$13:A$62,MATCH(24,'New Tooling Jobs'!AG$13:AG$62,0)),INDEX(Reorders!A$13:A$62,MATCH(24-COUNTIFS('New Tooling Jobs'!A$13:A$62,"&lt;&gt;",'New Tooling Jobs'!E$13:E$62,"&lt;&gt;Completed"),Reorders!AC$13:AC$62,0))),"")</f>
        <v/>
      </c>
      <c r="B33" s="40">
        <f>IFERROR(IF(24&lt;=COUNTIFS('New Tooling Jobs'!A$13:A$62,"&lt;&gt;",'New Tooling Jobs'!E$13:E$62,"&lt;&gt;Completed"),IF(INDEX('New Tooling Jobs'!A$13:A$62,MATCH(24,'New Tooling Jobs'!AG$13:AG$62,0))&lt;&gt;"","New Tooling",""),IF(INDEX(Reorders!A$13:A$62,MATCH(24-COUNTIFS('New Tooling Jobs'!A$13:A$62,"&lt;&gt;",'New Tooling Jobs'!E$13:E$62,"&lt;&gt;Completed"),Reorders!AC$13:AC$62,0))&lt;&gt;"","Reorder","")),"")</f>
        <v/>
      </c>
      <c r="C33" s="41">
        <f>IFERROR(IF(24&lt;=COUNTIFS('New Tooling Jobs'!A$13:A$62,"&lt;&gt;",'New Tooling Jobs'!E$13:E$62,"&lt;&gt;Completed"),INDEX('New Tooling Jobs'!B$13:B$62,MATCH(24,'New Tooling Jobs'!AG$13:AG$62,0)),INDEX(Reorders!B$13:B$62,MATCH(24-COUNTIFS('New Tooling Jobs'!A$13:A$62,"&lt;&gt;",'New Tooling Jobs'!E$13:E$62,"&lt;&gt;Completed"),Reorders!AC$13:AC$62,0))),"")</f>
        <v/>
      </c>
      <c r="D33" s="41">
        <f>IFERROR(IF(24&lt;=COUNTIFS('New Tooling Jobs'!A$13:A$62,"&lt;&gt;",'New Tooling Jobs'!E$13:E$62,"&lt;&gt;Completed"),INDEX('New Tooling Jobs'!E$13:E$62,MATCH(24,'New Tooling Jobs'!AG$13:AG$62,0)),INDEX(Reorders!E$13:E$62,MATCH(24-COUNTIFS('New Tooling Jobs'!A$13:A$62,"&lt;&gt;",'New Tooling Jobs'!E$13:E$62,"&lt;&gt;Completed"),Reorders!AC$13:AC$62,0))),"")</f>
        <v/>
      </c>
      <c r="E33" s="40">
        <f>IFERROR(IF(24&lt;=COUNTIFS('New Tooling Jobs'!A$13:A$62,"&lt;&gt;",'New Tooling Jobs'!E$13:E$62,"&lt;&gt;Completed"),INDEX('New Tooling Jobs'!G$13:G$62,MATCH(24,'New Tooling Jobs'!AG$13:AG$62,0)),INDEX(Reorders!G$13:G$62,MATCH(24-COUNTIFS('New Tooling Jobs'!A$13:A$62,"&lt;&gt;",'New Tooling Jobs'!E$13:E$62,"&lt;&gt;Completed"),Reorders!AC$13:AC$62,0))),"")</f>
        <v/>
      </c>
      <c r="F33" s="40">
        <f>IFERROR(IF(24&lt;=COUNTIFS('New Tooling Jobs'!A$13:A$62,"&lt;&gt;",'New Tooling Jobs'!E$13:E$62,"&lt;&gt;Completed"),INDEX('New Tooling Jobs'!H$13:H$62,MATCH(24,'New Tooling Jobs'!AG$13:AG$62,0)),INDEX(Reorders!H$13:H$62,MATCH(24-COUNTIFS('New Tooling Jobs'!A$13:A$62,"&lt;&gt;",'New Tooling Jobs'!E$13:E$62,"&lt;&gt;Completed"),Reorders!AC$13:AC$62,0))),"")</f>
        <v/>
      </c>
      <c r="G33" s="41">
        <f>IFERROR(IF(24&lt;=COUNTIFS('New Tooling Jobs'!A$13:A$62,"&lt;&gt;",'New Tooling Jobs'!E$13:E$62,"&lt;&gt;Completed"),INDEX('New Tooling Jobs'!I$13:I$62,MATCH(24,'New Tooling Jobs'!AG$13:AG$62,0)),INDEX(Reorders!I$13:I$62,MATCH(24-COUNTIFS('New Tooling Jobs'!A$13:A$62,"&lt;&gt;",'New Tooling Jobs'!E$13:E$62,"&lt;&gt;Completed"),Reorders!AC$13:AC$62,0))),"")</f>
        <v/>
      </c>
    </row>
    <row r="34" ht="15" customHeight="1" s="25">
      <c r="A34" s="40">
        <f>IFERROR(IF(25&lt;=COUNTIFS('New Tooling Jobs'!A$13:A$62,"&lt;&gt;",'New Tooling Jobs'!E$13:E$62,"&lt;&gt;Completed"),INDEX('New Tooling Jobs'!A$13:A$62,MATCH(25,'New Tooling Jobs'!AG$13:AG$62,0)),INDEX(Reorders!A$13:A$62,MATCH(25-COUNTIFS('New Tooling Jobs'!A$13:A$62,"&lt;&gt;",'New Tooling Jobs'!E$13:E$62,"&lt;&gt;Completed"),Reorders!AC$13:AC$62,0))),"")</f>
        <v/>
      </c>
      <c r="B34" s="40">
        <f>IFERROR(IF(25&lt;=COUNTIFS('New Tooling Jobs'!A$13:A$62,"&lt;&gt;",'New Tooling Jobs'!E$13:E$62,"&lt;&gt;Completed"),IF(INDEX('New Tooling Jobs'!A$13:A$62,MATCH(25,'New Tooling Jobs'!AG$13:AG$62,0))&lt;&gt;"","New Tooling",""),IF(INDEX(Reorders!A$13:A$62,MATCH(25-COUNTIFS('New Tooling Jobs'!A$13:A$62,"&lt;&gt;",'New Tooling Jobs'!E$13:E$62,"&lt;&gt;Completed"),Reorders!AC$13:AC$62,0))&lt;&gt;"","Reorder","")),"")</f>
        <v/>
      </c>
      <c r="C34" s="41">
        <f>IFERROR(IF(25&lt;=COUNTIFS('New Tooling Jobs'!A$13:A$62,"&lt;&gt;",'New Tooling Jobs'!E$13:E$62,"&lt;&gt;Completed"),INDEX('New Tooling Jobs'!B$13:B$62,MATCH(25,'New Tooling Jobs'!AG$13:AG$62,0)),INDEX(Reorders!B$13:B$62,MATCH(25-COUNTIFS('New Tooling Jobs'!A$13:A$62,"&lt;&gt;",'New Tooling Jobs'!E$13:E$62,"&lt;&gt;Completed"),Reorders!AC$13:AC$62,0))),"")</f>
        <v/>
      </c>
      <c r="D34" s="41">
        <f>IFERROR(IF(25&lt;=COUNTIFS('New Tooling Jobs'!A$13:A$62,"&lt;&gt;",'New Tooling Jobs'!E$13:E$62,"&lt;&gt;Completed"),INDEX('New Tooling Jobs'!E$13:E$62,MATCH(25,'New Tooling Jobs'!AG$13:AG$62,0)),INDEX(Reorders!E$13:E$62,MATCH(25-COUNTIFS('New Tooling Jobs'!A$13:A$62,"&lt;&gt;",'New Tooling Jobs'!E$13:E$62,"&lt;&gt;Completed"),Reorders!AC$13:AC$62,0))),"")</f>
        <v/>
      </c>
      <c r="E34" s="40">
        <f>IFERROR(IF(25&lt;=COUNTIFS('New Tooling Jobs'!A$13:A$62,"&lt;&gt;",'New Tooling Jobs'!E$13:E$62,"&lt;&gt;Completed"),INDEX('New Tooling Jobs'!G$13:G$62,MATCH(25,'New Tooling Jobs'!AG$13:AG$62,0)),INDEX(Reorders!G$13:G$62,MATCH(25-COUNTIFS('New Tooling Jobs'!A$13:A$62,"&lt;&gt;",'New Tooling Jobs'!E$13:E$62,"&lt;&gt;Completed"),Reorders!AC$13:AC$62,0))),"")</f>
        <v/>
      </c>
      <c r="F34" s="40">
        <f>IFERROR(IF(25&lt;=COUNTIFS('New Tooling Jobs'!A$13:A$62,"&lt;&gt;",'New Tooling Jobs'!E$13:E$62,"&lt;&gt;Completed"),INDEX('New Tooling Jobs'!H$13:H$62,MATCH(25,'New Tooling Jobs'!AG$13:AG$62,0)),INDEX(Reorders!H$13:H$62,MATCH(25-COUNTIFS('New Tooling Jobs'!A$13:A$62,"&lt;&gt;",'New Tooling Jobs'!E$13:E$62,"&lt;&gt;Completed"),Reorders!AC$13:AC$62,0))),"")</f>
        <v/>
      </c>
      <c r="G34" s="41">
        <f>IFERROR(IF(25&lt;=COUNTIFS('New Tooling Jobs'!A$13:A$62,"&lt;&gt;",'New Tooling Jobs'!E$13:E$62,"&lt;&gt;Completed"),INDEX('New Tooling Jobs'!I$13:I$62,MATCH(25,'New Tooling Jobs'!AG$13:AG$62,0)),INDEX(Reorders!I$13:I$62,MATCH(25-COUNTIFS('New Tooling Jobs'!A$13:A$62,"&lt;&gt;",'New Tooling Jobs'!E$13:E$62,"&lt;&gt;Completed"),Reorders!AC$13:AC$62,0))),"")</f>
        <v/>
      </c>
    </row>
    <row r="35" ht="15" customHeight="1" s="25">
      <c r="A35" s="40">
        <f>IFERROR(IF(26&lt;=COUNTIFS('New Tooling Jobs'!A$13:A$62,"&lt;&gt;",'New Tooling Jobs'!E$13:E$62,"&lt;&gt;Completed"),INDEX('New Tooling Jobs'!A$13:A$62,MATCH(26,'New Tooling Jobs'!AG$13:AG$62,0)),INDEX(Reorders!A$13:A$62,MATCH(26-COUNTIFS('New Tooling Jobs'!A$13:A$62,"&lt;&gt;",'New Tooling Jobs'!E$13:E$62,"&lt;&gt;Completed"),Reorders!AC$13:AC$62,0))),"")</f>
        <v/>
      </c>
      <c r="B35" s="40">
        <f>IFERROR(IF(26&lt;=COUNTIFS('New Tooling Jobs'!A$13:A$62,"&lt;&gt;",'New Tooling Jobs'!E$13:E$62,"&lt;&gt;Completed"),IF(INDEX('New Tooling Jobs'!A$13:A$62,MATCH(26,'New Tooling Jobs'!AG$13:AG$62,0))&lt;&gt;"","New Tooling",""),IF(INDEX(Reorders!A$13:A$62,MATCH(26-COUNTIFS('New Tooling Jobs'!A$13:A$62,"&lt;&gt;",'New Tooling Jobs'!E$13:E$62,"&lt;&gt;Completed"),Reorders!AC$13:AC$62,0))&lt;&gt;"","Reorder","")),"")</f>
        <v/>
      </c>
      <c r="C35" s="41">
        <f>IFERROR(IF(26&lt;=COUNTIFS('New Tooling Jobs'!A$13:A$62,"&lt;&gt;",'New Tooling Jobs'!E$13:E$62,"&lt;&gt;Completed"),INDEX('New Tooling Jobs'!B$13:B$62,MATCH(26,'New Tooling Jobs'!AG$13:AG$62,0)),INDEX(Reorders!B$13:B$62,MATCH(26-COUNTIFS('New Tooling Jobs'!A$13:A$62,"&lt;&gt;",'New Tooling Jobs'!E$13:E$62,"&lt;&gt;Completed"),Reorders!AC$13:AC$62,0))),"")</f>
        <v/>
      </c>
      <c r="D35" s="41">
        <f>IFERROR(IF(26&lt;=COUNTIFS('New Tooling Jobs'!A$13:A$62,"&lt;&gt;",'New Tooling Jobs'!E$13:E$62,"&lt;&gt;Completed"),INDEX('New Tooling Jobs'!E$13:E$62,MATCH(26,'New Tooling Jobs'!AG$13:AG$62,0)),INDEX(Reorders!E$13:E$62,MATCH(26-COUNTIFS('New Tooling Jobs'!A$13:A$62,"&lt;&gt;",'New Tooling Jobs'!E$13:E$62,"&lt;&gt;Completed"),Reorders!AC$13:AC$62,0))),"")</f>
        <v/>
      </c>
      <c r="E35" s="40">
        <f>IFERROR(IF(26&lt;=COUNTIFS('New Tooling Jobs'!A$13:A$62,"&lt;&gt;",'New Tooling Jobs'!E$13:E$62,"&lt;&gt;Completed"),INDEX('New Tooling Jobs'!G$13:G$62,MATCH(26,'New Tooling Jobs'!AG$13:AG$62,0)),INDEX(Reorders!G$13:G$62,MATCH(26-COUNTIFS('New Tooling Jobs'!A$13:A$62,"&lt;&gt;",'New Tooling Jobs'!E$13:E$62,"&lt;&gt;Completed"),Reorders!AC$13:AC$62,0))),"")</f>
        <v/>
      </c>
      <c r="F35" s="40">
        <f>IFERROR(IF(26&lt;=COUNTIFS('New Tooling Jobs'!A$13:A$62,"&lt;&gt;",'New Tooling Jobs'!E$13:E$62,"&lt;&gt;Completed"),INDEX('New Tooling Jobs'!H$13:H$62,MATCH(26,'New Tooling Jobs'!AG$13:AG$62,0)),INDEX(Reorders!H$13:H$62,MATCH(26-COUNTIFS('New Tooling Jobs'!A$13:A$62,"&lt;&gt;",'New Tooling Jobs'!E$13:E$62,"&lt;&gt;Completed"),Reorders!AC$13:AC$62,0))),"")</f>
        <v/>
      </c>
      <c r="G35" s="41">
        <f>IFERROR(IF(26&lt;=COUNTIFS('New Tooling Jobs'!A$13:A$62,"&lt;&gt;",'New Tooling Jobs'!E$13:E$62,"&lt;&gt;Completed"),INDEX('New Tooling Jobs'!I$13:I$62,MATCH(26,'New Tooling Jobs'!AG$13:AG$62,0)),INDEX(Reorders!I$13:I$62,MATCH(26-COUNTIFS('New Tooling Jobs'!A$13:A$62,"&lt;&gt;",'New Tooling Jobs'!E$13:E$62,"&lt;&gt;Completed"),Reorders!AC$13:AC$62,0))),"")</f>
        <v/>
      </c>
    </row>
    <row r="36" ht="15" customHeight="1" s="25">
      <c r="A36" s="40">
        <f>IFERROR(IF(27&lt;=COUNTIFS('New Tooling Jobs'!A$13:A$62,"&lt;&gt;",'New Tooling Jobs'!E$13:E$62,"&lt;&gt;Completed"),INDEX('New Tooling Jobs'!A$13:A$62,MATCH(27,'New Tooling Jobs'!AG$13:AG$62,0)),INDEX(Reorders!A$13:A$62,MATCH(27-COUNTIFS('New Tooling Jobs'!A$13:A$62,"&lt;&gt;",'New Tooling Jobs'!E$13:E$62,"&lt;&gt;Completed"),Reorders!AC$13:AC$62,0))),"")</f>
        <v/>
      </c>
      <c r="B36" s="40">
        <f>IFERROR(IF(27&lt;=COUNTIFS('New Tooling Jobs'!A$13:A$62,"&lt;&gt;",'New Tooling Jobs'!E$13:E$62,"&lt;&gt;Completed"),IF(INDEX('New Tooling Jobs'!A$13:A$62,MATCH(27,'New Tooling Jobs'!AG$13:AG$62,0))&lt;&gt;"","New Tooling",""),IF(INDEX(Reorders!A$13:A$62,MATCH(27-COUNTIFS('New Tooling Jobs'!A$13:A$62,"&lt;&gt;",'New Tooling Jobs'!E$13:E$62,"&lt;&gt;Completed"),Reorders!AC$13:AC$62,0))&lt;&gt;"","Reorder","")),"")</f>
        <v/>
      </c>
      <c r="C36" s="41">
        <f>IFERROR(IF(27&lt;=COUNTIFS('New Tooling Jobs'!A$13:A$62,"&lt;&gt;",'New Tooling Jobs'!E$13:E$62,"&lt;&gt;Completed"),INDEX('New Tooling Jobs'!B$13:B$62,MATCH(27,'New Tooling Jobs'!AG$13:AG$62,0)),INDEX(Reorders!B$13:B$62,MATCH(27-COUNTIFS('New Tooling Jobs'!A$13:A$62,"&lt;&gt;",'New Tooling Jobs'!E$13:E$62,"&lt;&gt;Completed"),Reorders!AC$13:AC$62,0))),"")</f>
        <v/>
      </c>
      <c r="D36" s="41">
        <f>IFERROR(IF(27&lt;=COUNTIFS('New Tooling Jobs'!A$13:A$62,"&lt;&gt;",'New Tooling Jobs'!E$13:E$62,"&lt;&gt;Completed"),INDEX('New Tooling Jobs'!E$13:E$62,MATCH(27,'New Tooling Jobs'!AG$13:AG$62,0)),INDEX(Reorders!E$13:E$62,MATCH(27-COUNTIFS('New Tooling Jobs'!A$13:A$62,"&lt;&gt;",'New Tooling Jobs'!E$13:E$62,"&lt;&gt;Completed"),Reorders!AC$13:AC$62,0))),"")</f>
        <v/>
      </c>
      <c r="E36" s="40">
        <f>IFERROR(IF(27&lt;=COUNTIFS('New Tooling Jobs'!A$13:A$62,"&lt;&gt;",'New Tooling Jobs'!E$13:E$62,"&lt;&gt;Completed"),INDEX('New Tooling Jobs'!G$13:G$62,MATCH(27,'New Tooling Jobs'!AG$13:AG$62,0)),INDEX(Reorders!G$13:G$62,MATCH(27-COUNTIFS('New Tooling Jobs'!A$13:A$62,"&lt;&gt;",'New Tooling Jobs'!E$13:E$62,"&lt;&gt;Completed"),Reorders!AC$13:AC$62,0))),"")</f>
        <v/>
      </c>
      <c r="F36" s="40">
        <f>IFERROR(IF(27&lt;=COUNTIFS('New Tooling Jobs'!A$13:A$62,"&lt;&gt;",'New Tooling Jobs'!E$13:E$62,"&lt;&gt;Completed"),INDEX('New Tooling Jobs'!H$13:H$62,MATCH(27,'New Tooling Jobs'!AG$13:AG$62,0)),INDEX(Reorders!H$13:H$62,MATCH(27-COUNTIFS('New Tooling Jobs'!A$13:A$62,"&lt;&gt;",'New Tooling Jobs'!E$13:E$62,"&lt;&gt;Completed"),Reorders!AC$13:AC$62,0))),"")</f>
        <v/>
      </c>
      <c r="G36" s="41">
        <f>IFERROR(IF(27&lt;=COUNTIFS('New Tooling Jobs'!A$13:A$62,"&lt;&gt;",'New Tooling Jobs'!E$13:E$62,"&lt;&gt;Completed"),INDEX('New Tooling Jobs'!I$13:I$62,MATCH(27,'New Tooling Jobs'!AG$13:AG$62,0)),INDEX(Reorders!I$13:I$62,MATCH(27-COUNTIFS('New Tooling Jobs'!A$13:A$62,"&lt;&gt;",'New Tooling Jobs'!E$13:E$62,"&lt;&gt;Completed"),Reorders!AC$13:AC$62,0))),"")</f>
        <v/>
      </c>
    </row>
    <row r="37" ht="15" customHeight="1" s="25">
      <c r="A37" s="40">
        <f>IFERROR(IF(28&lt;=COUNTIFS('New Tooling Jobs'!A$13:A$62,"&lt;&gt;",'New Tooling Jobs'!E$13:E$62,"&lt;&gt;Completed"),INDEX('New Tooling Jobs'!A$13:A$62,MATCH(28,'New Tooling Jobs'!AG$13:AG$62,0)),INDEX(Reorders!A$13:A$62,MATCH(28-COUNTIFS('New Tooling Jobs'!A$13:A$62,"&lt;&gt;",'New Tooling Jobs'!E$13:E$62,"&lt;&gt;Completed"),Reorders!AC$13:AC$62,0))),"")</f>
        <v/>
      </c>
      <c r="B37" s="40">
        <f>IFERROR(IF(28&lt;=COUNTIFS('New Tooling Jobs'!A$13:A$62,"&lt;&gt;",'New Tooling Jobs'!E$13:E$62,"&lt;&gt;Completed"),IF(INDEX('New Tooling Jobs'!A$13:A$62,MATCH(28,'New Tooling Jobs'!AG$13:AG$62,0))&lt;&gt;"","New Tooling",""),IF(INDEX(Reorders!A$13:A$62,MATCH(28-COUNTIFS('New Tooling Jobs'!A$13:A$62,"&lt;&gt;",'New Tooling Jobs'!E$13:E$62,"&lt;&gt;Completed"),Reorders!AC$13:AC$62,0))&lt;&gt;"","Reorder","")),"")</f>
        <v/>
      </c>
      <c r="C37" s="41">
        <f>IFERROR(IF(28&lt;=COUNTIFS('New Tooling Jobs'!A$13:A$62,"&lt;&gt;",'New Tooling Jobs'!E$13:E$62,"&lt;&gt;Completed"),INDEX('New Tooling Jobs'!B$13:B$62,MATCH(28,'New Tooling Jobs'!AG$13:AG$62,0)),INDEX(Reorders!B$13:B$62,MATCH(28-COUNTIFS('New Tooling Jobs'!A$13:A$62,"&lt;&gt;",'New Tooling Jobs'!E$13:E$62,"&lt;&gt;Completed"),Reorders!AC$13:AC$62,0))),"")</f>
        <v/>
      </c>
      <c r="D37" s="41">
        <f>IFERROR(IF(28&lt;=COUNTIFS('New Tooling Jobs'!A$13:A$62,"&lt;&gt;",'New Tooling Jobs'!E$13:E$62,"&lt;&gt;Completed"),INDEX('New Tooling Jobs'!E$13:E$62,MATCH(28,'New Tooling Jobs'!AG$13:AG$62,0)),INDEX(Reorders!E$13:E$62,MATCH(28-COUNTIFS('New Tooling Jobs'!A$13:A$62,"&lt;&gt;",'New Tooling Jobs'!E$13:E$62,"&lt;&gt;Completed"),Reorders!AC$13:AC$62,0))),"")</f>
        <v/>
      </c>
      <c r="E37" s="40">
        <f>IFERROR(IF(28&lt;=COUNTIFS('New Tooling Jobs'!A$13:A$62,"&lt;&gt;",'New Tooling Jobs'!E$13:E$62,"&lt;&gt;Completed"),INDEX('New Tooling Jobs'!G$13:G$62,MATCH(28,'New Tooling Jobs'!AG$13:AG$62,0)),INDEX(Reorders!G$13:G$62,MATCH(28-COUNTIFS('New Tooling Jobs'!A$13:A$62,"&lt;&gt;",'New Tooling Jobs'!E$13:E$62,"&lt;&gt;Completed"),Reorders!AC$13:AC$62,0))),"")</f>
        <v/>
      </c>
      <c r="F37" s="40">
        <f>IFERROR(IF(28&lt;=COUNTIFS('New Tooling Jobs'!A$13:A$62,"&lt;&gt;",'New Tooling Jobs'!E$13:E$62,"&lt;&gt;Completed"),INDEX('New Tooling Jobs'!H$13:H$62,MATCH(28,'New Tooling Jobs'!AG$13:AG$62,0)),INDEX(Reorders!H$13:H$62,MATCH(28-COUNTIFS('New Tooling Jobs'!A$13:A$62,"&lt;&gt;",'New Tooling Jobs'!E$13:E$62,"&lt;&gt;Completed"),Reorders!AC$13:AC$62,0))),"")</f>
        <v/>
      </c>
      <c r="G37" s="41">
        <f>IFERROR(IF(28&lt;=COUNTIFS('New Tooling Jobs'!A$13:A$62,"&lt;&gt;",'New Tooling Jobs'!E$13:E$62,"&lt;&gt;Completed"),INDEX('New Tooling Jobs'!I$13:I$62,MATCH(28,'New Tooling Jobs'!AG$13:AG$62,0)),INDEX(Reorders!I$13:I$62,MATCH(28-COUNTIFS('New Tooling Jobs'!A$13:A$62,"&lt;&gt;",'New Tooling Jobs'!E$13:E$62,"&lt;&gt;Completed"),Reorders!AC$13:AC$62,0))),"")</f>
        <v/>
      </c>
    </row>
    <row r="38" ht="15" customHeight="1" s="25">
      <c r="A38" s="40">
        <f>IFERROR(IF(29&lt;=COUNTIFS('New Tooling Jobs'!A$13:A$62,"&lt;&gt;",'New Tooling Jobs'!E$13:E$62,"&lt;&gt;Completed"),INDEX('New Tooling Jobs'!A$13:A$62,MATCH(29,'New Tooling Jobs'!AG$13:AG$62,0)),INDEX(Reorders!A$13:A$62,MATCH(29-COUNTIFS('New Tooling Jobs'!A$13:A$62,"&lt;&gt;",'New Tooling Jobs'!E$13:E$62,"&lt;&gt;Completed"),Reorders!AC$13:AC$62,0))),"")</f>
        <v/>
      </c>
      <c r="B38" s="40">
        <f>IFERROR(IF(29&lt;=COUNTIFS('New Tooling Jobs'!A$13:A$62,"&lt;&gt;",'New Tooling Jobs'!E$13:E$62,"&lt;&gt;Completed"),IF(INDEX('New Tooling Jobs'!A$13:A$62,MATCH(29,'New Tooling Jobs'!AG$13:AG$62,0))&lt;&gt;"","New Tooling",""),IF(INDEX(Reorders!A$13:A$62,MATCH(29-COUNTIFS('New Tooling Jobs'!A$13:A$62,"&lt;&gt;",'New Tooling Jobs'!E$13:E$62,"&lt;&gt;Completed"),Reorders!AC$13:AC$62,0))&lt;&gt;"","Reorder","")),"")</f>
        <v/>
      </c>
      <c r="C38" s="41">
        <f>IFERROR(IF(29&lt;=COUNTIFS('New Tooling Jobs'!A$13:A$62,"&lt;&gt;",'New Tooling Jobs'!E$13:E$62,"&lt;&gt;Completed"),INDEX('New Tooling Jobs'!B$13:B$62,MATCH(29,'New Tooling Jobs'!AG$13:AG$62,0)),INDEX(Reorders!B$13:B$62,MATCH(29-COUNTIFS('New Tooling Jobs'!A$13:A$62,"&lt;&gt;",'New Tooling Jobs'!E$13:E$62,"&lt;&gt;Completed"),Reorders!AC$13:AC$62,0))),"")</f>
        <v/>
      </c>
      <c r="D38" s="41">
        <f>IFERROR(IF(29&lt;=COUNTIFS('New Tooling Jobs'!A$13:A$62,"&lt;&gt;",'New Tooling Jobs'!E$13:E$62,"&lt;&gt;Completed"),INDEX('New Tooling Jobs'!E$13:E$62,MATCH(29,'New Tooling Jobs'!AG$13:AG$62,0)),INDEX(Reorders!E$13:E$62,MATCH(29-COUNTIFS('New Tooling Jobs'!A$13:A$62,"&lt;&gt;",'New Tooling Jobs'!E$13:E$62,"&lt;&gt;Completed"),Reorders!AC$13:AC$62,0))),"")</f>
        <v/>
      </c>
      <c r="E38" s="40">
        <f>IFERROR(IF(29&lt;=COUNTIFS('New Tooling Jobs'!A$13:A$62,"&lt;&gt;",'New Tooling Jobs'!E$13:E$62,"&lt;&gt;Completed"),INDEX('New Tooling Jobs'!G$13:G$62,MATCH(29,'New Tooling Jobs'!AG$13:AG$62,0)),INDEX(Reorders!G$13:G$62,MATCH(29-COUNTIFS('New Tooling Jobs'!A$13:A$62,"&lt;&gt;",'New Tooling Jobs'!E$13:E$62,"&lt;&gt;Completed"),Reorders!AC$13:AC$62,0))),"")</f>
        <v/>
      </c>
      <c r="F38" s="40">
        <f>IFERROR(IF(29&lt;=COUNTIFS('New Tooling Jobs'!A$13:A$62,"&lt;&gt;",'New Tooling Jobs'!E$13:E$62,"&lt;&gt;Completed"),INDEX('New Tooling Jobs'!H$13:H$62,MATCH(29,'New Tooling Jobs'!AG$13:AG$62,0)),INDEX(Reorders!H$13:H$62,MATCH(29-COUNTIFS('New Tooling Jobs'!A$13:A$62,"&lt;&gt;",'New Tooling Jobs'!E$13:E$62,"&lt;&gt;Completed"),Reorders!AC$13:AC$62,0))),"")</f>
        <v/>
      </c>
      <c r="G38" s="41">
        <f>IFERROR(IF(29&lt;=COUNTIFS('New Tooling Jobs'!A$13:A$62,"&lt;&gt;",'New Tooling Jobs'!E$13:E$62,"&lt;&gt;Completed"),INDEX('New Tooling Jobs'!I$13:I$62,MATCH(29,'New Tooling Jobs'!AG$13:AG$62,0)),INDEX(Reorders!I$13:I$62,MATCH(29-COUNTIFS('New Tooling Jobs'!A$13:A$62,"&lt;&gt;",'New Tooling Jobs'!E$13:E$62,"&lt;&gt;Completed"),Reorders!AC$13:AC$62,0))),"")</f>
        <v/>
      </c>
    </row>
    <row r="39" ht="15" customHeight="1" s="25">
      <c r="A39" s="40">
        <f>IFERROR(IF(30&lt;=COUNTIFS('New Tooling Jobs'!A$13:A$62,"&lt;&gt;",'New Tooling Jobs'!E$13:E$62,"&lt;&gt;Completed"),INDEX('New Tooling Jobs'!A$13:A$62,MATCH(30,'New Tooling Jobs'!AG$13:AG$62,0)),INDEX(Reorders!A$13:A$62,MATCH(30-COUNTIFS('New Tooling Jobs'!A$13:A$62,"&lt;&gt;",'New Tooling Jobs'!E$13:E$62,"&lt;&gt;Completed"),Reorders!AC$13:AC$62,0))),"")</f>
        <v/>
      </c>
      <c r="B39" s="40">
        <f>IFERROR(IF(30&lt;=COUNTIFS('New Tooling Jobs'!A$13:A$62,"&lt;&gt;",'New Tooling Jobs'!E$13:E$62,"&lt;&gt;Completed"),IF(INDEX('New Tooling Jobs'!A$13:A$62,MATCH(30,'New Tooling Jobs'!AG$13:AG$62,0))&lt;&gt;"","New Tooling",""),IF(INDEX(Reorders!A$13:A$62,MATCH(30-COUNTIFS('New Tooling Jobs'!A$13:A$62,"&lt;&gt;",'New Tooling Jobs'!E$13:E$62,"&lt;&gt;Completed"),Reorders!AC$13:AC$62,0))&lt;&gt;"","Reorder","")),"")</f>
        <v/>
      </c>
      <c r="C39" s="41">
        <f>IFERROR(IF(30&lt;=COUNTIFS('New Tooling Jobs'!A$13:A$62,"&lt;&gt;",'New Tooling Jobs'!E$13:E$62,"&lt;&gt;Completed"),INDEX('New Tooling Jobs'!B$13:B$62,MATCH(30,'New Tooling Jobs'!AG$13:AG$62,0)),INDEX(Reorders!B$13:B$62,MATCH(30-COUNTIFS('New Tooling Jobs'!A$13:A$62,"&lt;&gt;",'New Tooling Jobs'!E$13:E$62,"&lt;&gt;Completed"),Reorders!AC$13:AC$62,0))),"")</f>
        <v/>
      </c>
      <c r="D39" s="41">
        <f>IFERROR(IF(30&lt;=COUNTIFS('New Tooling Jobs'!A$13:A$62,"&lt;&gt;",'New Tooling Jobs'!E$13:E$62,"&lt;&gt;Completed"),INDEX('New Tooling Jobs'!E$13:E$62,MATCH(30,'New Tooling Jobs'!AG$13:AG$62,0)),INDEX(Reorders!E$13:E$62,MATCH(30-COUNTIFS('New Tooling Jobs'!A$13:A$62,"&lt;&gt;",'New Tooling Jobs'!E$13:E$62,"&lt;&gt;Completed"),Reorders!AC$13:AC$62,0))),"")</f>
        <v/>
      </c>
      <c r="E39" s="40">
        <f>IFERROR(IF(30&lt;=COUNTIFS('New Tooling Jobs'!A$13:A$62,"&lt;&gt;",'New Tooling Jobs'!E$13:E$62,"&lt;&gt;Completed"),INDEX('New Tooling Jobs'!G$13:G$62,MATCH(30,'New Tooling Jobs'!AG$13:AG$62,0)),INDEX(Reorders!G$13:G$62,MATCH(30-COUNTIFS('New Tooling Jobs'!A$13:A$62,"&lt;&gt;",'New Tooling Jobs'!E$13:E$62,"&lt;&gt;Completed"),Reorders!AC$13:AC$62,0))),"")</f>
        <v/>
      </c>
      <c r="F39" s="40">
        <f>IFERROR(IF(30&lt;=COUNTIFS('New Tooling Jobs'!A$13:A$62,"&lt;&gt;",'New Tooling Jobs'!E$13:E$62,"&lt;&gt;Completed"),INDEX('New Tooling Jobs'!H$13:H$62,MATCH(30,'New Tooling Jobs'!AG$13:AG$62,0)),INDEX(Reorders!H$13:H$62,MATCH(30-COUNTIFS('New Tooling Jobs'!A$13:A$62,"&lt;&gt;",'New Tooling Jobs'!E$13:E$62,"&lt;&gt;Completed"),Reorders!AC$13:AC$62,0))),"")</f>
        <v/>
      </c>
      <c r="G39" s="41">
        <f>IFERROR(IF(30&lt;=COUNTIFS('New Tooling Jobs'!A$13:A$62,"&lt;&gt;",'New Tooling Jobs'!E$13:E$62,"&lt;&gt;Completed"),INDEX('New Tooling Jobs'!I$13:I$62,MATCH(30,'New Tooling Jobs'!AG$13:AG$62,0)),INDEX(Reorders!I$13:I$62,MATCH(30-COUNTIFS('New Tooling Jobs'!A$13:A$62,"&lt;&gt;",'New Tooling Jobs'!E$13:E$62,"&lt;&gt;Completed"),Reorders!AC$13:AC$62,0))),"")</f>
        <v/>
      </c>
    </row>
    <row r="40" ht="15" customHeight="1" s="25">
      <c r="A40" s="40">
        <f>IFERROR(IF(31&lt;=COUNTIFS('New Tooling Jobs'!A$13:A$62,"&lt;&gt;",'New Tooling Jobs'!E$13:E$62,"&lt;&gt;Completed"),INDEX('New Tooling Jobs'!A$13:A$62,MATCH(31,'New Tooling Jobs'!AG$13:AG$62,0)),INDEX(Reorders!A$13:A$62,MATCH(31-COUNTIFS('New Tooling Jobs'!A$13:A$62,"&lt;&gt;",'New Tooling Jobs'!E$13:E$62,"&lt;&gt;Completed"),Reorders!AC$13:AC$62,0))),"")</f>
        <v/>
      </c>
      <c r="B40" s="40">
        <f>IFERROR(IF(31&lt;=COUNTIFS('New Tooling Jobs'!A$13:A$62,"&lt;&gt;",'New Tooling Jobs'!E$13:E$62,"&lt;&gt;Completed"),IF(INDEX('New Tooling Jobs'!A$13:A$62,MATCH(31,'New Tooling Jobs'!AG$13:AG$62,0))&lt;&gt;"","New Tooling",""),IF(INDEX(Reorders!A$13:A$62,MATCH(31-COUNTIFS('New Tooling Jobs'!A$13:A$62,"&lt;&gt;",'New Tooling Jobs'!E$13:E$62,"&lt;&gt;Completed"),Reorders!AC$13:AC$62,0))&lt;&gt;"","Reorder","")),"")</f>
        <v/>
      </c>
      <c r="C40" s="41">
        <f>IFERROR(IF(31&lt;=COUNTIFS('New Tooling Jobs'!A$13:A$62,"&lt;&gt;",'New Tooling Jobs'!E$13:E$62,"&lt;&gt;Completed"),INDEX('New Tooling Jobs'!B$13:B$62,MATCH(31,'New Tooling Jobs'!AG$13:AG$62,0)),INDEX(Reorders!B$13:B$62,MATCH(31-COUNTIFS('New Tooling Jobs'!A$13:A$62,"&lt;&gt;",'New Tooling Jobs'!E$13:E$62,"&lt;&gt;Completed"),Reorders!AC$13:AC$62,0))),"")</f>
        <v/>
      </c>
      <c r="D40" s="41">
        <f>IFERROR(IF(31&lt;=COUNTIFS('New Tooling Jobs'!A$13:A$62,"&lt;&gt;",'New Tooling Jobs'!E$13:E$62,"&lt;&gt;Completed"),INDEX('New Tooling Jobs'!E$13:E$62,MATCH(31,'New Tooling Jobs'!AG$13:AG$62,0)),INDEX(Reorders!E$13:E$62,MATCH(31-COUNTIFS('New Tooling Jobs'!A$13:A$62,"&lt;&gt;",'New Tooling Jobs'!E$13:E$62,"&lt;&gt;Completed"),Reorders!AC$13:AC$62,0))),"")</f>
        <v/>
      </c>
      <c r="E40" s="40">
        <f>IFERROR(IF(31&lt;=COUNTIFS('New Tooling Jobs'!A$13:A$62,"&lt;&gt;",'New Tooling Jobs'!E$13:E$62,"&lt;&gt;Completed"),INDEX('New Tooling Jobs'!G$13:G$62,MATCH(31,'New Tooling Jobs'!AG$13:AG$62,0)),INDEX(Reorders!G$13:G$62,MATCH(31-COUNTIFS('New Tooling Jobs'!A$13:A$62,"&lt;&gt;",'New Tooling Jobs'!E$13:E$62,"&lt;&gt;Completed"),Reorders!AC$13:AC$62,0))),"")</f>
        <v/>
      </c>
      <c r="F40" s="40">
        <f>IFERROR(IF(31&lt;=COUNTIFS('New Tooling Jobs'!A$13:A$62,"&lt;&gt;",'New Tooling Jobs'!E$13:E$62,"&lt;&gt;Completed"),INDEX('New Tooling Jobs'!H$13:H$62,MATCH(31,'New Tooling Jobs'!AG$13:AG$62,0)),INDEX(Reorders!H$13:H$62,MATCH(31-COUNTIFS('New Tooling Jobs'!A$13:A$62,"&lt;&gt;",'New Tooling Jobs'!E$13:E$62,"&lt;&gt;Completed"),Reorders!AC$13:AC$62,0))),"")</f>
        <v/>
      </c>
      <c r="G40" s="41">
        <f>IFERROR(IF(31&lt;=COUNTIFS('New Tooling Jobs'!A$13:A$62,"&lt;&gt;",'New Tooling Jobs'!E$13:E$62,"&lt;&gt;Completed"),INDEX('New Tooling Jobs'!I$13:I$62,MATCH(31,'New Tooling Jobs'!AG$13:AG$62,0)),INDEX(Reorders!I$13:I$62,MATCH(31-COUNTIFS('New Tooling Jobs'!A$13:A$62,"&lt;&gt;",'New Tooling Jobs'!E$13:E$62,"&lt;&gt;Completed"),Reorders!AC$13:AC$62,0))),"")</f>
        <v/>
      </c>
    </row>
    <row r="41" ht="15" customHeight="1" s="25">
      <c r="A41" s="40">
        <f>IFERROR(IF(32&lt;=COUNTIFS('New Tooling Jobs'!A$13:A$62,"&lt;&gt;",'New Tooling Jobs'!E$13:E$62,"&lt;&gt;Completed"),INDEX('New Tooling Jobs'!A$13:A$62,MATCH(32,'New Tooling Jobs'!AG$13:AG$62,0)),INDEX(Reorders!A$13:A$62,MATCH(32-COUNTIFS('New Tooling Jobs'!A$13:A$62,"&lt;&gt;",'New Tooling Jobs'!E$13:E$62,"&lt;&gt;Completed"),Reorders!AC$13:AC$62,0))),"")</f>
        <v/>
      </c>
      <c r="B41" s="40">
        <f>IFERROR(IF(32&lt;=COUNTIFS('New Tooling Jobs'!A$13:A$62,"&lt;&gt;",'New Tooling Jobs'!E$13:E$62,"&lt;&gt;Completed"),IF(INDEX('New Tooling Jobs'!A$13:A$62,MATCH(32,'New Tooling Jobs'!AG$13:AG$62,0))&lt;&gt;"","New Tooling",""),IF(INDEX(Reorders!A$13:A$62,MATCH(32-COUNTIFS('New Tooling Jobs'!A$13:A$62,"&lt;&gt;",'New Tooling Jobs'!E$13:E$62,"&lt;&gt;Completed"),Reorders!AC$13:AC$62,0))&lt;&gt;"","Reorder","")),"")</f>
        <v/>
      </c>
      <c r="C41" s="41">
        <f>IFERROR(IF(32&lt;=COUNTIFS('New Tooling Jobs'!A$13:A$62,"&lt;&gt;",'New Tooling Jobs'!E$13:E$62,"&lt;&gt;Completed"),INDEX('New Tooling Jobs'!B$13:B$62,MATCH(32,'New Tooling Jobs'!AG$13:AG$62,0)),INDEX(Reorders!B$13:B$62,MATCH(32-COUNTIFS('New Tooling Jobs'!A$13:A$62,"&lt;&gt;",'New Tooling Jobs'!E$13:E$62,"&lt;&gt;Completed"),Reorders!AC$13:AC$62,0))),"")</f>
        <v/>
      </c>
      <c r="D41" s="41">
        <f>IFERROR(IF(32&lt;=COUNTIFS('New Tooling Jobs'!A$13:A$62,"&lt;&gt;",'New Tooling Jobs'!E$13:E$62,"&lt;&gt;Completed"),INDEX('New Tooling Jobs'!E$13:E$62,MATCH(32,'New Tooling Jobs'!AG$13:AG$62,0)),INDEX(Reorders!E$13:E$62,MATCH(32-COUNTIFS('New Tooling Jobs'!A$13:A$62,"&lt;&gt;",'New Tooling Jobs'!E$13:E$62,"&lt;&gt;Completed"),Reorders!AC$13:AC$62,0))),"")</f>
        <v/>
      </c>
      <c r="E41" s="40">
        <f>IFERROR(IF(32&lt;=COUNTIFS('New Tooling Jobs'!A$13:A$62,"&lt;&gt;",'New Tooling Jobs'!E$13:E$62,"&lt;&gt;Completed"),INDEX('New Tooling Jobs'!G$13:G$62,MATCH(32,'New Tooling Jobs'!AG$13:AG$62,0)),INDEX(Reorders!G$13:G$62,MATCH(32-COUNTIFS('New Tooling Jobs'!A$13:A$62,"&lt;&gt;",'New Tooling Jobs'!E$13:E$62,"&lt;&gt;Completed"),Reorders!AC$13:AC$62,0))),"")</f>
        <v/>
      </c>
      <c r="F41" s="40">
        <f>IFERROR(IF(32&lt;=COUNTIFS('New Tooling Jobs'!A$13:A$62,"&lt;&gt;",'New Tooling Jobs'!E$13:E$62,"&lt;&gt;Completed"),INDEX('New Tooling Jobs'!H$13:H$62,MATCH(32,'New Tooling Jobs'!AG$13:AG$62,0)),INDEX(Reorders!H$13:H$62,MATCH(32-COUNTIFS('New Tooling Jobs'!A$13:A$62,"&lt;&gt;",'New Tooling Jobs'!E$13:E$62,"&lt;&gt;Completed"),Reorders!AC$13:AC$62,0))),"")</f>
        <v/>
      </c>
      <c r="G41" s="41">
        <f>IFERROR(IF(32&lt;=COUNTIFS('New Tooling Jobs'!A$13:A$62,"&lt;&gt;",'New Tooling Jobs'!E$13:E$62,"&lt;&gt;Completed"),INDEX('New Tooling Jobs'!I$13:I$62,MATCH(32,'New Tooling Jobs'!AG$13:AG$62,0)),INDEX(Reorders!I$13:I$62,MATCH(32-COUNTIFS('New Tooling Jobs'!A$13:A$62,"&lt;&gt;",'New Tooling Jobs'!E$13:E$62,"&lt;&gt;Completed"),Reorders!AC$13:AC$62,0))),"")</f>
        <v/>
      </c>
    </row>
    <row r="42" ht="15" customHeight="1" s="25">
      <c r="A42" s="40">
        <f>IFERROR(IF(33&lt;=COUNTIFS('New Tooling Jobs'!A$13:A$62,"&lt;&gt;",'New Tooling Jobs'!E$13:E$62,"&lt;&gt;Completed"),INDEX('New Tooling Jobs'!A$13:A$62,MATCH(33,'New Tooling Jobs'!AG$13:AG$62,0)),INDEX(Reorders!A$13:A$62,MATCH(33-COUNTIFS('New Tooling Jobs'!A$13:A$62,"&lt;&gt;",'New Tooling Jobs'!E$13:E$62,"&lt;&gt;Completed"),Reorders!AC$13:AC$62,0))),"")</f>
        <v/>
      </c>
      <c r="B42" s="40">
        <f>IFERROR(IF(33&lt;=COUNTIFS('New Tooling Jobs'!A$13:A$62,"&lt;&gt;",'New Tooling Jobs'!E$13:E$62,"&lt;&gt;Completed"),IF(INDEX('New Tooling Jobs'!A$13:A$62,MATCH(33,'New Tooling Jobs'!AG$13:AG$62,0))&lt;&gt;"","New Tooling",""),IF(INDEX(Reorders!A$13:A$62,MATCH(33-COUNTIFS('New Tooling Jobs'!A$13:A$62,"&lt;&gt;",'New Tooling Jobs'!E$13:E$62,"&lt;&gt;Completed"),Reorders!AC$13:AC$62,0))&lt;&gt;"","Reorder","")),"")</f>
        <v/>
      </c>
      <c r="C42" s="41">
        <f>IFERROR(IF(33&lt;=COUNTIFS('New Tooling Jobs'!A$13:A$62,"&lt;&gt;",'New Tooling Jobs'!E$13:E$62,"&lt;&gt;Completed"),INDEX('New Tooling Jobs'!B$13:B$62,MATCH(33,'New Tooling Jobs'!AG$13:AG$62,0)),INDEX(Reorders!B$13:B$62,MATCH(33-COUNTIFS('New Tooling Jobs'!A$13:A$62,"&lt;&gt;",'New Tooling Jobs'!E$13:E$62,"&lt;&gt;Completed"),Reorders!AC$13:AC$62,0))),"")</f>
        <v/>
      </c>
      <c r="D42" s="41">
        <f>IFERROR(IF(33&lt;=COUNTIFS('New Tooling Jobs'!A$13:A$62,"&lt;&gt;",'New Tooling Jobs'!E$13:E$62,"&lt;&gt;Completed"),INDEX('New Tooling Jobs'!E$13:E$62,MATCH(33,'New Tooling Jobs'!AG$13:AG$62,0)),INDEX(Reorders!E$13:E$62,MATCH(33-COUNTIFS('New Tooling Jobs'!A$13:A$62,"&lt;&gt;",'New Tooling Jobs'!E$13:E$62,"&lt;&gt;Completed"),Reorders!AC$13:AC$62,0))),"")</f>
        <v/>
      </c>
      <c r="E42" s="40">
        <f>IFERROR(IF(33&lt;=COUNTIFS('New Tooling Jobs'!A$13:A$62,"&lt;&gt;",'New Tooling Jobs'!E$13:E$62,"&lt;&gt;Completed"),INDEX('New Tooling Jobs'!G$13:G$62,MATCH(33,'New Tooling Jobs'!AG$13:AG$62,0)),INDEX(Reorders!G$13:G$62,MATCH(33-COUNTIFS('New Tooling Jobs'!A$13:A$62,"&lt;&gt;",'New Tooling Jobs'!E$13:E$62,"&lt;&gt;Completed"),Reorders!AC$13:AC$62,0))),"")</f>
        <v/>
      </c>
      <c r="F42" s="40">
        <f>IFERROR(IF(33&lt;=COUNTIFS('New Tooling Jobs'!A$13:A$62,"&lt;&gt;",'New Tooling Jobs'!E$13:E$62,"&lt;&gt;Completed"),INDEX('New Tooling Jobs'!H$13:H$62,MATCH(33,'New Tooling Jobs'!AG$13:AG$62,0)),INDEX(Reorders!H$13:H$62,MATCH(33-COUNTIFS('New Tooling Jobs'!A$13:A$62,"&lt;&gt;",'New Tooling Jobs'!E$13:E$62,"&lt;&gt;Completed"),Reorders!AC$13:AC$62,0))),"")</f>
        <v/>
      </c>
      <c r="G42" s="41">
        <f>IFERROR(IF(33&lt;=COUNTIFS('New Tooling Jobs'!A$13:A$62,"&lt;&gt;",'New Tooling Jobs'!E$13:E$62,"&lt;&gt;Completed"),INDEX('New Tooling Jobs'!I$13:I$62,MATCH(33,'New Tooling Jobs'!AG$13:AG$62,0)),INDEX(Reorders!I$13:I$62,MATCH(33-COUNTIFS('New Tooling Jobs'!A$13:A$62,"&lt;&gt;",'New Tooling Jobs'!E$13:E$62,"&lt;&gt;Completed"),Reorders!AC$13:AC$62,0))),"")</f>
        <v/>
      </c>
    </row>
    <row r="43" ht="15" customHeight="1" s="25">
      <c r="A43" s="40">
        <f>IFERROR(IF(34&lt;=COUNTIFS('New Tooling Jobs'!A$13:A$62,"&lt;&gt;",'New Tooling Jobs'!E$13:E$62,"&lt;&gt;Completed"),INDEX('New Tooling Jobs'!A$13:A$62,MATCH(34,'New Tooling Jobs'!AG$13:AG$62,0)),INDEX(Reorders!A$13:A$62,MATCH(34-COUNTIFS('New Tooling Jobs'!A$13:A$62,"&lt;&gt;",'New Tooling Jobs'!E$13:E$62,"&lt;&gt;Completed"),Reorders!AC$13:AC$62,0))),"")</f>
        <v/>
      </c>
      <c r="B43" s="40">
        <f>IFERROR(IF(34&lt;=COUNTIFS('New Tooling Jobs'!A$13:A$62,"&lt;&gt;",'New Tooling Jobs'!E$13:E$62,"&lt;&gt;Completed"),IF(INDEX('New Tooling Jobs'!A$13:A$62,MATCH(34,'New Tooling Jobs'!AG$13:AG$62,0))&lt;&gt;"","New Tooling",""),IF(INDEX(Reorders!A$13:A$62,MATCH(34-COUNTIFS('New Tooling Jobs'!A$13:A$62,"&lt;&gt;",'New Tooling Jobs'!E$13:E$62,"&lt;&gt;Completed"),Reorders!AC$13:AC$62,0))&lt;&gt;"","Reorder","")),"")</f>
        <v/>
      </c>
      <c r="C43" s="41">
        <f>IFERROR(IF(34&lt;=COUNTIFS('New Tooling Jobs'!A$13:A$62,"&lt;&gt;",'New Tooling Jobs'!E$13:E$62,"&lt;&gt;Completed"),INDEX('New Tooling Jobs'!B$13:B$62,MATCH(34,'New Tooling Jobs'!AG$13:AG$62,0)),INDEX(Reorders!B$13:B$62,MATCH(34-COUNTIFS('New Tooling Jobs'!A$13:A$62,"&lt;&gt;",'New Tooling Jobs'!E$13:E$62,"&lt;&gt;Completed"),Reorders!AC$13:AC$62,0))),"")</f>
        <v/>
      </c>
      <c r="D43" s="41">
        <f>IFERROR(IF(34&lt;=COUNTIFS('New Tooling Jobs'!A$13:A$62,"&lt;&gt;",'New Tooling Jobs'!E$13:E$62,"&lt;&gt;Completed"),INDEX('New Tooling Jobs'!E$13:E$62,MATCH(34,'New Tooling Jobs'!AG$13:AG$62,0)),INDEX(Reorders!E$13:E$62,MATCH(34-COUNTIFS('New Tooling Jobs'!A$13:A$62,"&lt;&gt;",'New Tooling Jobs'!E$13:E$62,"&lt;&gt;Completed"),Reorders!AC$13:AC$62,0))),"")</f>
        <v/>
      </c>
      <c r="E43" s="40">
        <f>IFERROR(IF(34&lt;=COUNTIFS('New Tooling Jobs'!A$13:A$62,"&lt;&gt;",'New Tooling Jobs'!E$13:E$62,"&lt;&gt;Completed"),INDEX('New Tooling Jobs'!G$13:G$62,MATCH(34,'New Tooling Jobs'!AG$13:AG$62,0)),INDEX(Reorders!G$13:G$62,MATCH(34-COUNTIFS('New Tooling Jobs'!A$13:A$62,"&lt;&gt;",'New Tooling Jobs'!E$13:E$62,"&lt;&gt;Completed"),Reorders!AC$13:AC$62,0))),"")</f>
        <v/>
      </c>
      <c r="F43" s="40">
        <f>IFERROR(IF(34&lt;=COUNTIFS('New Tooling Jobs'!A$13:A$62,"&lt;&gt;",'New Tooling Jobs'!E$13:E$62,"&lt;&gt;Completed"),INDEX('New Tooling Jobs'!H$13:H$62,MATCH(34,'New Tooling Jobs'!AG$13:AG$62,0)),INDEX(Reorders!H$13:H$62,MATCH(34-COUNTIFS('New Tooling Jobs'!A$13:A$62,"&lt;&gt;",'New Tooling Jobs'!E$13:E$62,"&lt;&gt;Completed"),Reorders!AC$13:AC$62,0))),"")</f>
        <v/>
      </c>
      <c r="G43" s="41">
        <f>IFERROR(IF(34&lt;=COUNTIFS('New Tooling Jobs'!A$13:A$62,"&lt;&gt;",'New Tooling Jobs'!E$13:E$62,"&lt;&gt;Completed"),INDEX('New Tooling Jobs'!I$13:I$62,MATCH(34,'New Tooling Jobs'!AG$13:AG$62,0)),INDEX(Reorders!I$13:I$62,MATCH(34-COUNTIFS('New Tooling Jobs'!A$13:A$62,"&lt;&gt;",'New Tooling Jobs'!E$13:E$62,"&lt;&gt;Completed"),Reorders!AC$13:AC$62,0))),"")</f>
        <v/>
      </c>
    </row>
    <row r="44" ht="15" customHeight="1" s="25">
      <c r="A44" s="40">
        <f>IFERROR(IF(35&lt;=COUNTIFS('New Tooling Jobs'!A$13:A$62,"&lt;&gt;",'New Tooling Jobs'!E$13:E$62,"&lt;&gt;Completed"),INDEX('New Tooling Jobs'!A$13:A$62,MATCH(35,'New Tooling Jobs'!AG$13:AG$62,0)),INDEX(Reorders!A$13:A$62,MATCH(35-COUNTIFS('New Tooling Jobs'!A$13:A$62,"&lt;&gt;",'New Tooling Jobs'!E$13:E$62,"&lt;&gt;Completed"),Reorders!AC$13:AC$62,0))),"")</f>
        <v/>
      </c>
      <c r="B44" s="40">
        <f>IFERROR(IF(35&lt;=COUNTIFS('New Tooling Jobs'!A$13:A$62,"&lt;&gt;",'New Tooling Jobs'!E$13:E$62,"&lt;&gt;Completed"),IF(INDEX('New Tooling Jobs'!A$13:A$62,MATCH(35,'New Tooling Jobs'!AG$13:AG$62,0))&lt;&gt;"","New Tooling",""),IF(INDEX(Reorders!A$13:A$62,MATCH(35-COUNTIFS('New Tooling Jobs'!A$13:A$62,"&lt;&gt;",'New Tooling Jobs'!E$13:E$62,"&lt;&gt;Completed"),Reorders!AC$13:AC$62,0))&lt;&gt;"","Reorder","")),"")</f>
        <v/>
      </c>
      <c r="C44" s="41">
        <f>IFERROR(IF(35&lt;=COUNTIFS('New Tooling Jobs'!A$13:A$62,"&lt;&gt;",'New Tooling Jobs'!E$13:E$62,"&lt;&gt;Completed"),INDEX('New Tooling Jobs'!B$13:B$62,MATCH(35,'New Tooling Jobs'!AG$13:AG$62,0)),INDEX(Reorders!B$13:B$62,MATCH(35-COUNTIFS('New Tooling Jobs'!A$13:A$62,"&lt;&gt;",'New Tooling Jobs'!E$13:E$62,"&lt;&gt;Completed"),Reorders!AC$13:AC$62,0))),"")</f>
        <v/>
      </c>
      <c r="D44" s="41">
        <f>IFERROR(IF(35&lt;=COUNTIFS('New Tooling Jobs'!A$13:A$62,"&lt;&gt;",'New Tooling Jobs'!E$13:E$62,"&lt;&gt;Completed"),INDEX('New Tooling Jobs'!E$13:E$62,MATCH(35,'New Tooling Jobs'!AG$13:AG$62,0)),INDEX(Reorders!E$13:E$62,MATCH(35-COUNTIFS('New Tooling Jobs'!A$13:A$62,"&lt;&gt;",'New Tooling Jobs'!E$13:E$62,"&lt;&gt;Completed"),Reorders!AC$13:AC$62,0))),"")</f>
        <v/>
      </c>
      <c r="E44" s="40">
        <f>IFERROR(IF(35&lt;=COUNTIFS('New Tooling Jobs'!A$13:A$62,"&lt;&gt;",'New Tooling Jobs'!E$13:E$62,"&lt;&gt;Completed"),INDEX('New Tooling Jobs'!G$13:G$62,MATCH(35,'New Tooling Jobs'!AG$13:AG$62,0)),INDEX(Reorders!G$13:G$62,MATCH(35-COUNTIFS('New Tooling Jobs'!A$13:A$62,"&lt;&gt;",'New Tooling Jobs'!E$13:E$62,"&lt;&gt;Completed"),Reorders!AC$13:AC$62,0))),"")</f>
        <v/>
      </c>
      <c r="F44" s="40">
        <f>IFERROR(IF(35&lt;=COUNTIFS('New Tooling Jobs'!A$13:A$62,"&lt;&gt;",'New Tooling Jobs'!E$13:E$62,"&lt;&gt;Completed"),INDEX('New Tooling Jobs'!H$13:H$62,MATCH(35,'New Tooling Jobs'!AG$13:AG$62,0)),INDEX(Reorders!H$13:H$62,MATCH(35-COUNTIFS('New Tooling Jobs'!A$13:A$62,"&lt;&gt;",'New Tooling Jobs'!E$13:E$62,"&lt;&gt;Completed"),Reorders!AC$13:AC$62,0))),"")</f>
        <v/>
      </c>
      <c r="G44" s="41">
        <f>IFERROR(IF(35&lt;=COUNTIFS('New Tooling Jobs'!A$13:A$62,"&lt;&gt;",'New Tooling Jobs'!E$13:E$62,"&lt;&gt;Completed"),INDEX('New Tooling Jobs'!I$13:I$62,MATCH(35,'New Tooling Jobs'!AG$13:AG$62,0)),INDEX(Reorders!I$13:I$62,MATCH(35-COUNTIFS('New Tooling Jobs'!A$13:A$62,"&lt;&gt;",'New Tooling Jobs'!E$13:E$62,"&lt;&gt;Completed"),Reorders!AC$13:AC$62,0))),"")</f>
        <v/>
      </c>
    </row>
    <row r="45" ht="15" customHeight="1" s="25">
      <c r="A45" s="40">
        <f>IFERROR(IF(36&lt;=COUNTIFS('New Tooling Jobs'!A$13:A$62,"&lt;&gt;",'New Tooling Jobs'!E$13:E$62,"&lt;&gt;Completed"),INDEX('New Tooling Jobs'!A$13:A$62,MATCH(36,'New Tooling Jobs'!AG$13:AG$62,0)),INDEX(Reorders!A$13:A$62,MATCH(36-COUNTIFS('New Tooling Jobs'!A$13:A$62,"&lt;&gt;",'New Tooling Jobs'!E$13:E$62,"&lt;&gt;Completed"),Reorders!AC$13:AC$62,0))),"")</f>
        <v/>
      </c>
      <c r="B45" s="40">
        <f>IFERROR(IF(36&lt;=COUNTIFS('New Tooling Jobs'!A$13:A$62,"&lt;&gt;",'New Tooling Jobs'!E$13:E$62,"&lt;&gt;Completed"),IF(INDEX('New Tooling Jobs'!A$13:A$62,MATCH(36,'New Tooling Jobs'!AG$13:AG$62,0))&lt;&gt;"","New Tooling",""),IF(INDEX(Reorders!A$13:A$62,MATCH(36-COUNTIFS('New Tooling Jobs'!A$13:A$62,"&lt;&gt;",'New Tooling Jobs'!E$13:E$62,"&lt;&gt;Completed"),Reorders!AC$13:AC$62,0))&lt;&gt;"","Reorder","")),"")</f>
        <v/>
      </c>
      <c r="C45" s="41">
        <f>IFERROR(IF(36&lt;=COUNTIFS('New Tooling Jobs'!A$13:A$62,"&lt;&gt;",'New Tooling Jobs'!E$13:E$62,"&lt;&gt;Completed"),INDEX('New Tooling Jobs'!B$13:B$62,MATCH(36,'New Tooling Jobs'!AG$13:AG$62,0)),INDEX(Reorders!B$13:B$62,MATCH(36-COUNTIFS('New Tooling Jobs'!A$13:A$62,"&lt;&gt;",'New Tooling Jobs'!E$13:E$62,"&lt;&gt;Completed"),Reorders!AC$13:AC$62,0))),"")</f>
        <v/>
      </c>
      <c r="D45" s="41">
        <f>IFERROR(IF(36&lt;=COUNTIFS('New Tooling Jobs'!A$13:A$62,"&lt;&gt;",'New Tooling Jobs'!E$13:E$62,"&lt;&gt;Completed"),INDEX('New Tooling Jobs'!E$13:E$62,MATCH(36,'New Tooling Jobs'!AG$13:AG$62,0)),INDEX(Reorders!E$13:E$62,MATCH(36-COUNTIFS('New Tooling Jobs'!A$13:A$62,"&lt;&gt;",'New Tooling Jobs'!E$13:E$62,"&lt;&gt;Completed"),Reorders!AC$13:AC$62,0))),"")</f>
        <v/>
      </c>
      <c r="E45" s="40">
        <f>IFERROR(IF(36&lt;=COUNTIFS('New Tooling Jobs'!A$13:A$62,"&lt;&gt;",'New Tooling Jobs'!E$13:E$62,"&lt;&gt;Completed"),INDEX('New Tooling Jobs'!G$13:G$62,MATCH(36,'New Tooling Jobs'!AG$13:AG$62,0)),INDEX(Reorders!G$13:G$62,MATCH(36-COUNTIFS('New Tooling Jobs'!A$13:A$62,"&lt;&gt;",'New Tooling Jobs'!E$13:E$62,"&lt;&gt;Completed"),Reorders!AC$13:AC$62,0))),"")</f>
        <v/>
      </c>
      <c r="F45" s="40">
        <f>IFERROR(IF(36&lt;=COUNTIFS('New Tooling Jobs'!A$13:A$62,"&lt;&gt;",'New Tooling Jobs'!E$13:E$62,"&lt;&gt;Completed"),INDEX('New Tooling Jobs'!H$13:H$62,MATCH(36,'New Tooling Jobs'!AG$13:AG$62,0)),INDEX(Reorders!H$13:H$62,MATCH(36-COUNTIFS('New Tooling Jobs'!A$13:A$62,"&lt;&gt;",'New Tooling Jobs'!E$13:E$62,"&lt;&gt;Completed"),Reorders!AC$13:AC$62,0))),"")</f>
        <v/>
      </c>
      <c r="G45" s="41">
        <f>IFERROR(IF(36&lt;=COUNTIFS('New Tooling Jobs'!A$13:A$62,"&lt;&gt;",'New Tooling Jobs'!E$13:E$62,"&lt;&gt;Completed"),INDEX('New Tooling Jobs'!I$13:I$62,MATCH(36,'New Tooling Jobs'!AG$13:AG$62,0)),INDEX(Reorders!I$13:I$62,MATCH(36-COUNTIFS('New Tooling Jobs'!A$13:A$62,"&lt;&gt;",'New Tooling Jobs'!E$13:E$62,"&lt;&gt;Completed"),Reorders!AC$13:AC$62,0))),"")</f>
        <v/>
      </c>
    </row>
    <row r="46" ht="15" customHeight="1" s="25">
      <c r="A46" s="40">
        <f>IFERROR(IF(37&lt;=COUNTIFS('New Tooling Jobs'!A$13:A$62,"&lt;&gt;",'New Tooling Jobs'!E$13:E$62,"&lt;&gt;Completed"),INDEX('New Tooling Jobs'!A$13:A$62,MATCH(37,'New Tooling Jobs'!AG$13:AG$62,0)),INDEX(Reorders!A$13:A$62,MATCH(37-COUNTIFS('New Tooling Jobs'!A$13:A$62,"&lt;&gt;",'New Tooling Jobs'!E$13:E$62,"&lt;&gt;Completed"),Reorders!AC$13:AC$62,0))),"")</f>
        <v/>
      </c>
      <c r="B46" s="40">
        <f>IFERROR(IF(37&lt;=COUNTIFS('New Tooling Jobs'!A$13:A$62,"&lt;&gt;",'New Tooling Jobs'!E$13:E$62,"&lt;&gt;Completed"),IF(INDEX('New Tooling Jobs'!A$13:A$62,MATCH(37,'New Tooling Jobs'!AG$13:AG$62,0))&lt;&gt;"","New Tooling",""),IF(INDEX(Reorders!A$13:A$62,MATCH(37-COUNTIFS('New Tooling Jobs'!A$13:A$62,"&lt;&gt;",'New Tooling Jobs'!E$13:E$62,"&lt;&gt;Completed"),Reorders!AC$13:AC$62,0))&lt;&gt;"","Reorder","")),"")</f>
        <v/>
      </c>
      <c r="C46" s="41">
        <f>IFERROR(IF(37&lt;=COUNTIFS('New Tooling Jobs'!A$13:A$62,"&lt;&gt;",'New Tooling Jobs'!E$13:E$62,"&lt;&gt;Completed"),INDEX('New Tooling Jobs'!B$13:B$62,MATCH(37,'New Tooling Jobs'!AG$13:AG$62,0)),INDEX(Reorders!B$13:B$62,MATCH(37-COUNTIFS('New Tooling Jobs'!A$13:A$62,"&lt;&gt;",'New Tooling Jobs'!E$13:E$62,"&lt;&gt;Completed"),Reorders!AC$13:AC$62,0))),"")</f>
        <v/>
      </c>
      <c r="D46" s="41">
        <f>IFERROR(IF(37&lt;=COUNTIFS('New Tooling Jobs'!A$13:A$62,"&lt;&gt;",'New Tooling Jobs'!E$13:E$62,"&lt;&gt;Completed"),INDEX('New Tooling Jobs'!E$13:E$62,MATCH(37,'New Tooling Jobs'!AG$13:AG$62,0)),INDEX(Reorders!E$13:E$62,MATCH(37-COUNTIFS('New Tooling Jobs'!A$13:A$62,"&lt;&gt;",'New Tooling Jobs'!E$13:E$62,"&lt;&gt;Completed"),Reorders!AC$13:AC$62,0))),"")</f>
        <v/>
      </c>
      <c r="E46" s="40">
        <f>IFERROR(IF(37&lt;=COUNTIFS('New Tooling Jobs'!A$13:A$62,"&lt;&gt;",'New Tooling Jobs'!E$13:E$62,"&lt;&gt;Completed"),INDEX('New Tooling Jobs'!G$13:G$62,MATCH(37,'New Tooling Jobs'!AG$13:AG$62,0)),INDEX(Reorders!G$13:G$62,MATCH(37-COUNTIFS('New Tooling Jobs'!A$13:A$62,"&lt;&gt;",'New Tooling Jobs'!E$13:E$62,"&lt;&gt;Completed"),Reorders!AC$13:AC$62,0))),"")</f>
        <v/>
      </c>
      <c r="F46" s="40">
        <f>IFERROR(IF(37&lt;=COUNTIFS('New Tooling Jobs'!A$13:A$62,"&lt;&gt;",'New Tooling Jobs'!E$13:E$62,"&lt;&gt;Completed"),INDEX('New Tooling Jobs'!H$13:H$62,MATCH(37,'New Tooling Jobs'!AG$13:AG$62,0)),INDEX(Reorders!H$13:H$62,MATCH(37-COUNTIFS('New Tooling Jobs'!A$13:A$62,"&lt;&gt;",'New Tooling Jobs'!E$13:E$62,"&lt;&gt;Completed"),Reorders!AC$13:AC$62,0))),"")</f>
        <v/>
      </c>
      <c r="G46" s="41">
        <f>IFERROR(IF(37&lt;=COUNTIFS('New Tooling Jobs'!A$13:A$62,"&lt;&gt;",'New Tooling Jobs'!E$13:E$62,"&lt;&gt;Completed"),INDEX('New Tooling Jobs'!I$13:I$62,MATCH(37,'New Tooling Jobs'!AG$13:AG$62,0)),INDEX(Reorders!I$13:I$62,MATCH(37-COUNTIFS('New Tooling Jobs'!A$13:A$62,"&lt;&gt;",'New Tooling Jobs'!E$13:E$62,"&lt;&gt;Completed"),Reorders!AC$13:AC$62,0))),"")</f>
        <v/>
      </c>
    </row>
    <row r="47" ht="15" customHeight="1" s="25">
      <c r="A47" s="40">
        <f>IFERROR(IF(38&lt;=COUNTIFS('New Tooling Jobs'!A$13:A$62,"&lt;&gt;",'New Tooling Jobs'!E$13:E$62,"&lt;&gt;Completed"),INDEX('New Tooling Jobs'!A$13:A$62,MATCH(38,'New Tooling Jobs'!AG$13:AG$62,0)),INDEX(Reorders!A$13:A$62,MATCH(38-COUNTIFS('New Tooling Jobs'!A$13:A$62,"&lt;&gt;",'New Tooling Jobs'!E$13:E$62,"&lt;&gt;Completed"),Reorders!AC$13:AC$62,0))),"")</f>
        <v/>
      </c>
      <c r="B47" s="40">
        <f>IFERROR(IF(38&lt;=COUNTIFS('New Tooling Jobs'!A$13:A$62,"&lt;&gt;",'New Tooling Jobs'!E$13:E$62,"&lt;&gt;Completed"),IF(INDEX('New Tooling Jobs'!A$13:A$62,MATCH(38,'New Tooling Jobs'!AG$13:AG$62,0))&lt;&gt;"","New Tooling",""),IF(INDEX(Reorders!A$13:A$62,MATCH(38-COUNTIFS('New Tooling Jobs'!A$13:A$62,"&lt;&gt;",'New Tooling Jobs'!E$13:E$62,"&lt;&gt;Completed"),Reorders!AC$13:AC$62,0))&lt;&gt;"","Reorder","")),"")</f>
        <v/>
      </c>
      <c r="C47" s="41">
        <f>IFERROR(IF(38&lt;=COUNTIFS('New Tooling Jobs'!A$13:A$62,"&lt;&gt;",'New Tooling Jobs'!E$13:E$62,"&lt;&gt;Completed"),INDEX('New Tooling Jobs'!B$13:B$62,MATCH(38,'New Tooling Jobs'!AG$13:AG$62,0)),INDEX(Reorders!B$13:B$62,MATCH(38-COUNTIFS('New Tooling Jobs'!A$13:A$62,"&lt;&gt;",'New Tooling Jobs'!E$13:E$62,"&lt;&gt;Completed"),Reorders!AC$13:AC$62,0))),"")</f>
        <v/>
      </c>
      <c r="D47" s="41">
        <f>IFERROR(IF(38&lt;=COUNTIFS('New Tooling Jobs'!A$13:A$62,"&lt;&gt;",'New Tooling Jobs'!E$13:E$62,"&lt;&gt;Completed"),INDEX('New Tooling Jobs'!E$13:E$62,MATCH(38,'New Tooling Jobs'!AG$13:AG$62,0)),INDEX(Reorders!E$13:E$62,MATCH(38-COUNTIFS('New Tooling Jobs'!A$13:A$62,"&lt;&gt;",'New Tooling Jobs'!E$13:E$62,"&lt;&gt;Completed"),Reorders!AC$13:AC$62,0))),"")</f>
        <v/>
      </c>
      <c r="E47" s="40">
        <f>IFERROR(IF(38&lt;=COUNTIFS('New Tooling Jobs'!A$13:A$62,"&lt;&gt;",'New Tooling Jobs'!E$13:E$62,"&lt;&gt;Completed"),INDEX('New Tooling Jobs'!G$13:G$62,MATCH(38,'New Tooling Jobs'!AG$13:AG$62,0)),INDEX(Reorders!G$13:G$62,MATCH(38-COUNTIFS('New Tooling Jobs'!A$13:A$62,"&lt;&gt;",'New Tooling Jobs'!E$13:E$62,"&lt;&gt;Completed"),Reorders!AC$13:AC$62,0))),"")</f>
        <v/>
      </c>
      <c r="F47" s="40">
        <f>IFERROR(IF(38&lt;=COUNTIFS('New Tooling Jobs'!A$13:A$62,"&lt;&gt;",'New Tooling Jobs'!E$13:E$62,"&lt;&gt;Completed"),INDEX('New Tooling Jobs'!H$13:H$62,MATCH(38,'New Tooling Jobs'!AG$13:AG$62,0)),INDEX(Reorders!H$13:H$62,MATCH(38-COUNTIFS('New Tooling Jobs'!A$13:A$62,"&lt;&gt;",'New Tooling Jobs'!E$13:E$62,"&lt;&gt;Completed"),Reorders!AC$13:AC$62,0))),"")</f>
        <v/>
      </c>
      <c r="G47" s="41">
        <f>IFERROR(IF(38&lt;=COUNTIFS('New Tooling Jobs'!A$13:A$62,"&lt;&gt;",'New Tooling Jobs'!E$13:E$62,"&lt;&gt;Completed"),INDEX('New Tooling Jobs'!I$13:I$62,MATCH(38,'New Tooling Jobs'!AG$13:AG$62,0)),INDEX(Reorders!I$13:I$62,MATCH(38-COUNTIFS('New Tooling Jobs'!A$13:A$62,"&lt;&gt;",'New Tooling Jobs'!E$13:E$62,"&lt;&gt;Completed"),Reorders!AC$13:AC$62,0))),"")</f>
        <v/>
      </c>
    </row>
    <row r="48" ht="15" customHeight="1" s="25">
      <c r="A48" s="40">
        <f>IFERROR(IF(39&lt;=COUNTIFS('New Tooling Jobs'!A$13:A$62,"&lt;&gt;",'New Tooling Jobs'!E$13:E$62,"&lt;&gt;Completed"),INDEX('New Tooling Jobs'!A$13:A$62,MATCH(39,'New Tooling Jobs'!AG$13:AG$62,0)),INDEX(Reorders!A$13:A$62,MATCH(39-COUNTIFS('New Tooling Jobs'!A$13:A$62,"&lt;&gt;",'New Tooling Jobs'!E$13:E$62,"&lt;&gt;Completed"),Reorders!AC$13:AC$62,0))),"")</f>
        <v/>
      </c>
      <c r="B48" s="40">
        <f>IFERROR(IF(39&lt;=COUNTIFS('New Tooling Jobs'!A$13:A$62,"&lt;&gt;",'New Tooling Jobs'!E$13:E$62,"&lt;&gt;Completed"),IF(INDEX('New Tooling Jobs'!A$13:A$62,MATCH(39,'New Tooling Jobs'!AG$13:AG$62,0))&lt;&gt;"","New Tooling",""),IF(INDEX(Reorders!A$13:A$62,MATCH(39-COUNTIFS('New Tooling Jobs'!A$13:A$62,"&lt;&gt;",'New Tooling Jobs'!E$13:E$62,"&lt;&gt;Completed"),Reorders!AC$13:AC$62,0))&lt;&gt;"","Reorder","")),"")</f>
        <v/>
      </c>
      <c r="C48" s="41">
        <f>IFERROR(IF(39&lt;=COUNTIFS('New Tooling Jobs'!A$13:A$62,"&lt;&gt;",'New Tooling Jobs'!E$13:E$62,"&lt;&gt;Completed"),INDEX('New Tooling Jobs'!B$13:B$62,MATCH(39,'New Tooling Jobs'!AG$13:AG$62,0)),INDEX(Reorders!B$13:B$62,MATCH(39-COUNTIFS('New Tooling Jobs'!A$13:A$62,"&lt;&gt;",'New Tooling Jobs'!E$13:E$62,"&lt;&gt;Completed"),Reorders!AC$13:AC$62,0))),"")</f>
        <v/>
      </c>
      <c r="D48" s="41">
        <f>IFERROR(IF(39&lt;=COUNTIFS('New Tooling Jobs'!A$13:A$62,"&lt;&gt;",'New Tooling Jobs'!E$13:E$62,"&lt;&gt;Completed"),INDEX('New Tooling Jobs'!E$13:E$62,MATCH(39,'New Tooling Jobs'!AG$13:AG$62,0)),INDEX(Reorders!E$13:E$62,MATCH(39-COUNTIFS('New Tooling Jobs'!A$13:A$62,"&lt;&gt;",'New Tooling Jobs'!E$13:E$62,"&lt;&gt;Completed"),Reorders!AC$13:AC$62,0))),"")</f>
        <v/>
      </c>
      <c r="E48" s="40">
        <f>IFERROR(IF(39&lt;=COUNTIFS('New Tooling Jobs'!A$13:A$62,"&lt;&gt;",'New Tooling Jobs'!E$13:E$62,"&lt;&gt;Completed"),INDEX('New Tooling Jobs'!G$13:G$62,MATCH(39,'New Tooling Jobs'!AG$13:AG$62,0)),INDEX(Reorders!G$13:G$62,MATCH(39-COUNTIFS('New Tooling Jobs'!A$13:A$62,"&lt;&gt;",'New Tooling Jobs'!E$13:E$62,"&lt;&gt;Completed"),Reorders!AC$13:AC$62,0))),"")</f>
        <v/>
      </c>
      <c r="F48" s="40">
        <f>IFERROR(IF(39&lt;=COUNTIFS('New Tooling Jobs'!A$13:A$62,"&lt;&gt;",'New Tooling Jobs'!E$13:E$62,"&lt;&gt;Completed"),INDEX('New Tooling Jobs'!H$13:H$62,MATCH(39,'New Tooling Jobs'!AG$13:AG$62,0)),INDEX(Reorders!H$13:H$62,MATCH(39-COUNTIFS('New Tooling Jobs'!A$13:A$62,"&lt;&gt;",'New Tooling Jobs'!E$13:E$62,"&lt;&gt;Completed"),Reorders!AC$13:AC$62,0))),"")</f>
        <v/>
      </c>
      <c r="G48" s="41">
        <f>IFERROR(IF(39&lt;=COUNTIFS('New Tooling Jobs'!A$13:A$62,"&lt;&gt;",'New Tooling Jobs'!E$13:E$62,"&lt;&gt;Completed"),INDEX('New Tooling Jobs'!I$13:I$62,MATCH(39,'New Tooling Jobs'!AG$13:AG$62,0)),INDEX(Reorders!I$13:I$62,MATCH(39-COUNTIFS('New Tooling Jobs'!A$13:A$62,"&lt;&gt;",'New Tooling Jobs'!E$13:E$62,"&lt;&gt;Completed"),Reorders!AC$13:AC$62,0))),"")</f>
        <v/>
      </c>
    </row>
    <row r="49" ht="15" customHeight="1" s="25">
      <c r="A49" s="40">
        <f>IFERROR(IF(40&lt;=COUNTIFS('New Tooling Jobs'!A$13:A$62,"&lt;&gt;",'New Tooling Jobs'!E$13:E$62,"&lt;&gt;Completed"),INDEX('New Tooling Jobs'!A$13:A$62,MATCH(40,'New Tooling Jobs'!AG$13:AG$62,0)),INDEX(Reorders!A$13:A$62,MATCH(40-COUNTIFS('New Tooling Jobs'!A$13:A$62,"&lt;&gt;",'New Tooling Jobs'!E$13:E$62,"&lt;&gt;Completed"),Reorders!AC$13:AC$62,0))),"")</f>
        <v/>
      </c>
      <c r="B49" s="40">
        <f>IFERROR(IF(40&lt;=COUNTIFS('New Tooling Jobs'!A$13:A$62,"&lt;&gt;",'New Tooling Jobs'!E$13:E$62,"&lt;&gt;Completed"),IF(INDEX('New Tooling Jobs'!A$13:A$62,MATCH(40,'New Tooling Jobs'!AG$13:AG$62,0))&lt;&gt;"","New Tooling",""),IF(INDEX(Reorders!A$13:A$62,MATCH(40-COUNTIFS('New Tooling Jobs'!A$13:A$62,"&lt;&gt;",'New Tooling Jobs'!E$13:E$62,"&lt;&gt;Completed"),Reorders!AC$13:AC$62,0))&lt;&gt;"","Reorder","")),"")</f>
        <v/>
      </c>
      <c r="C49" s="41">
        <f>IFERROR(IF(40&lt;=COUNTIFS('New Tooling Jobs'!A$13:A$62,"&lt;&gt;",'New Tooling Jobs'!E$13:E$62,"&lt;&gt;Completed"),INDEX('New Tooling Jobs'!B$13:B$62,MATCH(40,'New Tooling Jobs'!AG$13:AG$62,0)),INDEX(Reorders!B$13:B$62,MATCH(40-COUNTIFS('New Tooling Jobs'!A$13:A$62,"&lt;&gt;",'New Tooling Jobs'!E$13:E$62,"&lt;&gt;Completed"),Reorders!AC$13:AC$62,0))),"")</f>
        <v/>
      </c>
      <c r="D49" s="41">
        <f>IFERROR(IF(40&lt;=COUNTIFS('New Tooling Jobs'!A$13:A$62,"&lt;&gt;",'New Tooling Jobs'!E$13:E$62,"&lt;&gt;Completed"),INDEX('New Tooling Jobs'!E$13:E$62,MATCH(40,'New Tooling Jobs'!AG$13:AG$62,0)),INDEX(Reorders!E$13:E$62,MATCH(40-COUNTIFS('New Tooling Jobs'!A$13:A$62,"&lt;&gt;",'New Tooling Jobs'!E$13:E$62,"&lt;&gt;Completed"),Reorders!AC$13:AC$62,0))),"")</f>
        <v/>
      </c>
      <c r="E49" s="40">
        <f>IFERROR(IF(40&lt;=COUNTIFS('New Tooling Jobs'!A$13:A$62,"&lt;&gt;",'New Tooling Jobs'!E$13:E$62,"&lt;&gt;Completed"),INDEX('New Tooling Jobs'!G$13:G$62,MATCH(40,'New Tooling Jobs'!AG$13:AG$62,0)),INDEX(Reorders!G$13:G$62,MATCH(40-COUNTIFS('New Tooling Jobs'!A$13:A$62,"&lt;&gt;",'New Tooling Jobs'!E$13:E$62,"&lt;&gt;Completed"),Reorders!AC$13:AC$62,0))),"")</f>
        <v/>
      </c>
      <c r="F49" s="40">
        <f>IFERROR(IF(40&lt;=COUNTIFS('New Tooling Jobs'!A$13:A$62,"&lt;&gt;",'New Tooling Jobs'!E$13:E$62,"&lt;&gt;Completed"),INDEX('New Tooling Jobs'!H$13:H$62,MATCH(40,'New Tooling Jobs'!AG$13:AG$62,0)),INDEX(Reorders!H$13:H$62,MATCH(40-COUNTIFS('New Tooling Jobs'!A$13:A$62,"&lt;&gt;",'New Tooling Jobs'!E$13:E$62,"&lt;&gt;Completed"),Reorders!AC$13:AC$62,0))),"")</f>
        <v/>
      </c>
      <c r="G49" s="41">
        <f>IFERROR(IF(40&lt;=COUNTIFS('New Tooling Jobs'!A$13:A$62,"&lt;&gt;",'New Tooling Jobs'!E$13:E$62,"&lt;&gt;Completed"),INDEX('New Tooling Jobs'!I$13:I$62,MATCH(40,'New Tooling Jobs'!AG$13:AG$62,0)),INDEX(Reorders!I$13:I$62,MATCH(40-COUNTIFS('New Tooling Jobs'!A$13:A$62,"&lt;&gt;",'New Tooling Jobs'!E$13:E$62,"&lt;&gt;Completed"),Reorders!AC$13:AC$62,0))),"")</f>
        <v/>
      </c>
    </row>
    <row r="50" ht="15" customHeight="1" s="25">
      <c r="A50" s="40">
        <f>IFERROR(IF(41&lt;=COUNTIFS('New Tooling Jobs'!A$13:A$62,"&lt;&gt;",'New Tooling Jobs'!E$13:E$62,"&lt;&gt;Completed"),INDEX('New Tooling Jobs'!A$13:A$62,MATCH(41,'New Tooling Jobs'!AG$13:AG$62,0)),INDEX(Reorders!A$13:A$62,MATCH(41-COUNTIFS('New Tooling Jobs'!A$13:A$62,"&lt;&gt;",'New Tooling Jobs'!E$13:E$62,"&lt;&gt;Completed"),Reorders!AC$13:AC$62,0))),"")</f>
        <v/>
      </c>
      <c r="B50" s="40">
        <f>IFERROR(IF(41&lt;=COUNTIFS('New Tooling Jobs'!A$13:A$62,"&lt;&gt;",'New Tooling Jobs'!E$13:E$62,"&lt;&gt;Completed"),IF(INDEX('New Tooling Jobs'!A$13:A$62,MATCH(41,'New Tooling Jobs'!AG$13:AG$62,0))&lt;&gt;"","New Tooling",""),IF(INDEX(Reorders!A$13:A$62,MATCH(41-COUNTIFS('New Tooling Jobs'!A$13:A$62,"&lt;&gt;",'New Tooling Jobs'!E$13:E$62,"&lt;&gt;Completed"),Reorders!AC$13:AC$62,0))&lt;&gt;"","Reorder","")),"")</f>
        <v/>
      </c>
      <c r="C50" s="41">
        <f>IFERROR(IF(41&lt;=COUNTIFS('New Tooling Jobs'!A$13:A$62,"&lt;&gt;",'New Tooling Jobs'!E$13:E$62,"&lt;&gt;Completed"),INDEX('New Tooling Jobs'!B$13:B$62,MATCH(41,'New Tooling Jobs'!AG$13:AG$62,0)),INDEX(Reorders!B$13:B$62,MATCH(41-COUNTIFS('New Tooling Jobs'!A$13:A$62,"&lt;&gt;",'New Tooling Jobs'!E$13:E$62,"&lt;&gt;Completed"),Reorders!AC$13:AC$62,0))),"")</f>
        <v/>
      </c>
      <c r="D50" s="41">
        <f>IFERROR(IF(41&lt;=COUNTIFS('New Tooling Jobs'!A$13:A$62,"&lt;&gt;",'New Tooling Jobs'!E$13:E$62,"&lt;&gt;Completed"),INDEX('New Tooling Jobs'!E$13:E$62,MATCH(41,'New Tooling Jobs'!AG$13:AG$62,0)),INDEX(Reorders!E$13:E$62,MATCH(41-COUNTIFS('New Tooling Jobs'!A$13:A$62,"&lt;&gt;",'New Tooling Jobs'!E$13:E$62,"&lt;&gt;Completed"),Reorders!AC$13:AC$62,0))),"")</f>
        <v/>
      </c>
      <c r="E50" s="40">
        <f>IFERROR(IF(41&lt;=COUNTIFS('New Tooling Jobs'!A$13:A$62,"&lt;&gt;",'New Tooling Jobs'!E$13:E$62,"&lt;&gt;Completed"),INDEX('New Tooling Jobs'!G$13:G$62,MATCH(41,'New Tooling Jobs'!AG$13:AG$62,0)),INDEX(Reorders!G$13:G$62,MATCH(41-COUNTIFS('New Tooling Jobs'!A$13:A$62,"&lt;&gt;",'New Tooling Jobs'!E$13:E$62,"&lt;&gt;Completed"),Reorders!AC$13:AC$62,0))),"")</f>
        <v/>
      </c>
      <c r="F50" s="40">
        <f>IFERROR(IF(41&lt;=COUNTIFS('New Tooling Jobs'!A$13:A$62,"&lt;&gt;",'New Tooling Jobs'!E$13:E$62,"&lt;&gt;Completed"),INDEX('New Tooling Jobs'!H$13:H$62,MATCH(41,'New Tooling Jobs'!AG$13:AG$62,0)),INDEX(Reorders!H$13:H$62,MATCH(41-COUNTIFS('New Tooling Jobs'!A$13:A$62,"&lt;&gt;",'New Tooling Jobs'!E$13:E$62,"&lt;&gt;Completed"),Reorders!AC$13:AC$62,0))),"")</f>
        <v/>
      </c>
      <c r="G50" s="41">
        <f>IFERROR(IF(41&lt;=COUNTIFS('New Tooling Jobs'!A$13:A$62,"&lt;&gt;",'New Tooling Jobs'!E$13:E$62,"&lt;&gt;Completed"),INDEX('New Tooling Jobs'!I$13:I$62,MATCH(41,'New Tooling Jobs'!AG$13:AG$62,0)),INDEX(Reorders!I$13:I$62,MATCH(41-COUNTIFS('New Tooling Jobs'!A$13:A$62,"&lt;&gt;",'New Tooling Jobs'!E$13:E$62,"&lt;&gt;Completed"),Reorders!AC$13:AC$62,0))),"")</f>
        <v/>
      </c>
    </row>
    <row r="51" ht="15" customHeight="1" s="25">
      <c r="A51" s="40">
        <f>IFERROR(IF(42&lt;=COUNTIFS('New Tooling Jobs'!A$13:A$62,"&lt;&gt;",'New Tooling Jobs'!E$13:E$62,"&lt;&gt;Completed"),INDEX('New Tooling Jobs'!A$13:A$62,MATCH(42,'New Tooling Jobs'!AG$13:AG$62,0)),INDEX(Reorders!A$13:A$62,MATCH(42-COUNTIFS('New Tooling Jobs'!A$13:A$62,"&lt;&gt;",'New Tooling Jobs'!E$13:E$62,"&lt;&gt;Completed"),Reorders!AC$13:AC$62,0))),"")</f>
        <v/>
      </c>
      <c r="B51" s="40">
        <f>IFERROR(IF(42&lt;=COUNTIFS('New Tooling Jobs'!A$13:A$62,"&lt;&gt;",'New Tooling Jobs'!E$13:E$62,"&lt;&gt;Completed"),IF(INDEX('New Tooling Jobs'!A$13:A$62,MATCH(42,'New Tooling Jobs'!AG$13:AG$62,0))&lt;&gt;"","New Tooling",""),IF(INDEX(Reorders!A$13:A$62,MATCH(42-COUNTIFS('New Tooling Jobs'!A$13:A$62,"&lt;&gt;",'New Tooling Jobs'!E$13:E$62,"&lt;&gt;Completed"),Reorders!AC$13:AC$62,0))&lt;&gt;"","Reorder","")),"")</f>
        <v/>
      </c>
      <c r="C51" s="41">
        <f>IFERROR(IF(42&lt;=COUNTIFS('New Tooling Jobs'!A$13:A$62,"&lt;&gt;",'New Tooling Jobs'!E$13:E$62,"&lt;&gt;Completed"),INDEX('New Tooling Jobs'!B$13:B$62,MATCH(42,'New Tooling Jobs'!AG$13:AG$62,0)),INDEX(Reorders!B$13:B$62,MATCH(42-COUNTIFS('New Tooling Jobs'!A$13:A$62,"&lt;&gt;",'New Tooling Jobs'!E$13:E$62,"&lt;&gt;Completed"),Reorders!AC$13:AC$62,0))),"")</f>
        <v/>
      </c>
      <c r="D51" s="41">
        <f>IFERROR(IF(42&lt;=COUNTIFS('New Tooling Jobs'!A$13:A$62,"&lt;&gt;",'New Tooling Jobs'!E$13:E$62,"&lt;&gt;Completed"),INDEX('New Tooling Jobs'!E$13:E$62,MATCH(42,'New Tooling Jobs'!AG$13:AG$62,0)),INDEX(Reorders!E$13:E$62,MATCH(42-COUNTIFS('New Tooling Jobs'!A$13:A$62,"&lt;&gt;",'New Tooling Jobs'!E$13:E$62,"&lt;&gt;Completed"),Reorders!AC$13:AC$62,0))),"")</f>
        <v/>
      </c>
      <c r="E51" s="40">
        <f>IFERROR(IF(42&lt;=COUNTIFS('New Tooling Jobs'!A$13:A$62,"&lt;&gt;",'New Tooling Jobs'!E$13:E$62,"&lt;&gt;Completed"),INDEX('New Tooling Jobs'!G$13:G$62,MATCH(42,'New Tooling Jobs'!AG$13:AG$62,0)),INDEX(Reorders!G$13:G$62,MATCH(42-COUNTIFS('New Tooling Jobs'!A$13:A$62,"&lt;&gt;",'New Tooling Jobs'!E$13:E$62,"&lt;&gt;Completed"),Reorders!AC$13:AC$62,0))),"")</f>
        <v/>
      </c>
      <c r="F51" s="40">
        <f>IFERROR(IF(42&lt;=COUNTIFS('New Tooling Jobs'!A$13:A$62,"&lt;&gt;",'New Tooling Jobs'!E$13:E$62,"&lt;&gt;Completed"),INDEX('New Tooling Jobs'!H$13:H$62,MATCH(42,'New Tooling Jobs'!AG$13:AG$62,0)),INDEX(Reorders!H$13:H$62,MATCH(42-COUNTIFS('New Tooling Jobs'!A$13:A$62,"&lt;&gt;",'New Tooling Jobs'!E$13:E$62,"&lt;&gt;Completed"),Reorders!AC$13:AC$62,0))),"")</f>
        <v/>
      </c>
      <c r="G51" s="41">
        <f>IFERROR(IF(42&lt;=COUNTIFS('New Tooling Jobs'!A$13:A$62,"&lt;&gt;",'New Tooling Jobs'!E$13:E$62,"&lt;&gt;Completed"),INDEX('New Tooling Jobs'!I$13:I$62,MATCH(42,'New Tooling Jobs'!AG$13:AG$62,0)),INDEX(Reorders!I$13:I$62,MATCH(42-COUNTIFS('New Tooling Jobs'!A$13:A$62,"&lt;&gt;",'New Tooling Jobs'!E$13:E$62,"&lt;&gt;Completed"),Reorders!AC$13:AC$62,0))),"")</f>
        <v/>
      </c>
    </row>
    <row r="52" ht="15" customHeight="1" s="25">
      <c r="A52" s="40">
        <f>IFERROR(IF(43&lt;=COUNTIFS('New Tooling Jobs'!A$13:A$62,"&lt;&gt;",'New Tooling Jobs'!E$13:E$62,"&lt;&gt;Completed"),INDEX('New Tooling Jobs'!A$13:A$62,MATCH(43,'New Tooling Jobs'!AG$13:AG$62,0)),INDEX(Reorders!A$13:A$62,MATCH(43-COUNTIFS('New Tooling Jobs'!A$13:A$62,"&lt;&gt;",'New Tooling Jobs'!E$13:E$62,"&lt;&gt;Completed"),Reorders!AC$13:AC$62,0))),"")</f>
        <v/>
      </c>
      <c r="B52" s="40">
        <f>IFERROR(IF(43&lt;=COUNTIFS('New Tooling Jobs'!A$13:A$62,"&lt;&gt;",'New Tooling Jobs'!E$13:E$62,"&lt;&gt;Completed"),IF(INDEX('New Tooling Jobs'!A$13:A$62,MATCH(43,'New Tooling Jobs'!AG$13:AG$62,0))&lt;&gt;"","New Tooling",""),IF(INDEX(Reorders!A$13:A$62,MATCH(43-COUNTIFS('New Tooling Jobs'!A$13:A$62,"&lt;&gt;",'New Tooling Jobs'!E$13:E$62,"&lt;&gt;Completed"),Reorders!AC$13:AC$62,0))&lt;&gt;"","Reorder","")),"")</f>
        <v/>
      </c>
      <c r="C52" s="41">
        <f>IFERROR(IF(43&lt;=COUNTIFS('New Tooling Jobs'!A$13:A$62,"&lt;&gt;",'New Tooling Jobs'!E$13:E$62,"&lt;&gt;Completed"),INDEX('New Tooling Jobs'!B$13:B$62,MATCH(43,'New Tooling Jobs'!AG$13:AG$62,0)),INDEX(Reorders!B$13:B$62,MATCH(43-COUNTIFS('New Tooling Jobs'!A$13:A$62,"&lt;&gt;",'New Tooling Jobs'!E$13:E$62,"&lt;&gt;Completed"),Reorders!AC$13:AC$62,0))),"")</f>
        <v/>
      </c>
      <c r="D52" s="41">
        <f>IFERROR(IF(43&lt;=COUNTIFS('New Tooling Jobs'!A$13:A$62,"&lt;&gt;",'New Tooling Jobs'!E$13:E$62,"&lt;&gt;Completed"),INDEX('New Tooling Jobs'!E$13:E$62,MATCH(43,'New Tooling Jobs'!AG$13:AG$62,0)),INDEX(Reorders!E$13:E$62,MATCH(43-COUNTIFS('New Tooling Jobs'!A$13:A$62,"&lt;&gt;",'New Tooling Jobs'!E$13:E$62,"&lt;&gt;Completed"),Reorders!AC$13:AC$62,0))),"")</f>
        <v/>
      </c>
      <c r="E52" s="40">
        <f>IFERROR(IF(43&lt;=COUNTIFS('New Tooling Jobs'!A$13:A$62,"&lt;&gt;",'New Tooling Jobs'!E$13:E$62,"&lt;&gt;Completed"),INDEX('New Tooling Jobs'!G$13:G$62,MATCH(43,'New Tooling Jobs'!AG$13:AG$62,0)),INDEX(Reorders!G$13:G$62,MATCH(43-COUNTIFS('New Tooling Jobs'!A$13:A$62,"&lt;&gt;",'New Tooling Jobs'!E$13:E$62,"&lt;&gt;Completed"),Reorders!AC$13:AC$62,0))),"")</f>
        <v/>
      </c>
      <c r="F52" s="40">
        <f>IFERROR(IF(43&lt;=COUNTIFS('New Tooling Jobs'!A$13:A$62,"&lt;&gt;",'New Tooling Jobs'!E$13:E$62,"&lt;&gt;Completed"),INDEX('New Tooling Jobs'!H$13:H$62,MATCH(43,'New Tooling Jobs'!AG$13:AG$62,0)),INDEX(Reorders!H$13:H$62,MATCH(43-COUNTIFS('New Tooling Jobs'!A$13:A$62,"&lt;&gt;",'New Tooling Jobs'!E$13:E$62,"&lt;&gt;Completed"),Reorders!AC$13:AC$62,0))),"")</f>
        <v/>
      </c>
      <c r="G52" s="41">
        <f>IFERROR(IF(43&lt;=COUNTIFS('New Tooling Jobs'!A$13:A$62,"&lt;&gt;",'New Tooling Jobs'!E$13:E$62,"&lt;&gt;Completed"),INDEX('New Tooling Jobs'!I$13:I$62,MATCH(43,'New Tooling Jobs'!AG$13:AG$62,0)),INDEX(Reorders!I$13:I$62,MATCH(43-COUNTIFS('New Tooling Jobs'!A$13:A$62,"&lt;&gt;",'New Tooling Jobs'!E$13:E$62,"&lt;&gt;Completed"),Reorders!AC$13:AC$62,0))),"")</f>
        <v/>
      </c>
    </row>
    <row r="53" ht="15" customHeight="1" s="25">
      <c r="A53" s="40">
        <f>IFERROR(IF(44&lt;=COUNTIFS('New Tooling Jobs'!A$13:A$62,"&lt;&gt;",'New Tooling Jobs'!E$13:E$62,"&lt;&gt;Completed"),INDEX('New Tooling Jobs'!A$13:A$62,MATCH(44,'New Tooling Jobs'!AG$13:AG$62,0)),INDEX(Reorders!A$13:A$62,MATCH(44-COUNTIFS('New Tooling Jobs'!A$13:A$62,"&lt;&gt;",'New Tooling Jobs'!E$13:E$62,"&lt;&gt;Completed"),Reorders!AC$13:AC$62,0))),"")</f>
        <v/>
      </c>
      <c r="B53" s="40">
        <f>IFERROR(IF(44&lt;=COUNTIFS('New Tooling Jobs'!A$13:A$62,"&lt;&gt;",'New Tooling Jobs'!E$13:E$62,"&lt;&gt;Completed"),IF(INDEX('New Tooling Jobs'!A$13:A$62,MATCH(44,'New Tooling Jobs'!AG$13:AG$62,0))&lt;&gt;"","New Tooling",""),IF(INDEX(Reorders!A$13:A$62,MATCH(44-COUNTIFS('New Tooling Jobs'!A$13:A$62,"&lt;&gt;",'New Tooling Jobs'!E$13:E$62,"&lt;&gt;Completed"),Reorders!AC$13:AC$62,0))&lt;&gt;"","Reorder","")),"")</f>
        <v/>
      </c>
      <c r="C53" s="41">
        <f>IFERROR(IF(44&lt;=COUNTIFS('New Tooling Jobs'!A$13:A$62,"&lt;&gt;",'New Tooling Jobs'!E$13:E$62,"&lt;&gt;Completed"),INDEX('New Tooling Jobs'!B$13:B$62,MATCH(44,'New Tooling Jobs'!AG$13:AG$62,0)),INDEX(Reorders!B$13:B$62,MATCH(44-COUNTIFS('New Tooling Jobs'!A$13:A$62,"&lt;&gt;",'New Tooling Jobs'!E$13:E$62,"&lt;&gt;Completed"),Reorders!AC$13:AC$62,0))),"")</f>
        <v/>
      </c>
      <c r="D53" s="41">
        <f>IFERROR(IF(44&lt;=COUNTIFS('New Tooling Jobs'!A$13:A$62,"&lt;&gt;",'New Tooling Jobs'!E$13:E$62,"&lt;&gt;Completed"),INDEX('New Tooling Jobs'!E$13:E$62,MATCH(44,'New Tooling Jobs'!AG$13:AG$62,0)),INDEX(Reorders!E$13:E$62,MATCH(44-COUNTIFS('New Tooling Jobs'!A$13:A$62,"&lt;&gt;",'New Tooling Jobs'!E$13:E$62,"&lt;&gt;Completed"),Reorders!AC$13:AC$62,0))),"")</f>
        <v/>
      </c>
      <c r="E53" s="40">
        <f>IFERROR(IF(44&lt;=COUNTIFS('New Tooling Jobs'!A$13:A$62,"&lt;&gt;",'New Tooling Jobs'!E$13:E$62,"&lt;&gt;Completed"),INDEX('New Tooling Jobs'!G$13:G$62,MATCH(44,'New Tooling Jobs'!AG$13:AG$62,0)),INDEX(Reorders!G$13:G$62,MATCH(44-COUNTIFS('New Tooling Jobs'!A$13:A$62,"&lt;&gt;",'New Tooling Jobs'!E$13:E$62,"&lt;&gt;Completed"),Reorders!AC$13:AC$62,0))),"")</f>
        <v/>
      </c>
      <c r="F53" s="40">
        <f>IFERROR(IF(44&lt;=COUNTIFS('New Tooling Jobs'!A$13:A$62,"&lt;&gt;",'New Tooling Jobs'!E$13:E$62,"&lt;&gt;Completed"),INDEX('New Tooling Jobs'!H$13:H$62,MATCH(44,'New Tooling Jobs'!AG$13:AG$62,0)),INDEX(Reorders!H$13:H$62,MATCH(44-COUNTIFS('New Tooling Jobs'!A$13:A$62,"&lt;&gt;",'New Tooling Jobs'!E$13:E$62,"&lt;&gt;Completed"),Reorders!AC$13:AC$62,0))),"")</f>
        <v/>
      </c>
      <c r="G53" s="41">
        <f>IFERROR(IF(44&lt;=COUNTIFS('New Tooling Jobs'!A$13:A$62,"&lt;&gt;",'New Tooling Jobs'!E$13:E$62,"&lt;&gt;Completed"),INDEX('New Tooling Jobs'!I$13:I$62,MATCH(44,'New Tooling Jobs'!AG$13:AG$62,0)),INDEX(Reorders!I$13:I$62,MATCH(44-COUNTIFS('New Tooling Jobs'!A$13:A$62,"&lt;&gt;",'New Tooling Jobs'!E$13:E$62,"&lt;&gt;Completed"),Reorders!AC$13:AC$62,0))),"")</f>
        <v/>
      </c>
    </row>
    <row r="54" ht="15" customHeight="1" s="25">
      <c r="A54" s="40">
        <f>IFERROR(IF(45&lt;=COUNTIFS('New Tooling Jobs'!A$13:A$62,"&lt;&gt;",'New Tooling Jobs'!E$13:E$62,"&lt;&gt;Completed"),INDEX('New Tooling Jobs'!A$13:A$62,MATCH(45,'New Tooling Jobs'!AG$13:AG$62,0)),INDEX(Reorders!A$13:A$62,MATCH(45-COUNTIFS('New Tooling Jobs'!A$13:A$62,"&lt;&gt;",'New Tooling Jobs'!E$13:E$62,"&lt;&gt;Completed"),Reorders!AC$13:AC$62,0))),"")</f>
        <v/>
      </c>
      <c r="B54" s="40">
        <f>IFERROR(IF(45&lt;=COUNTIFS('New Tooling Jobs'!A$13:A$62,"&lt;&gt;",'New Tooling Jobs'!E$13:E$62,"&lt;&gt;Completed"),IF(INDEX('New Tooling Jobs'!A$13:A$62,MATCH(45,'New Tooling Jobs'!AG$13:AG$62,0))&lt;&gt;"","New Tooling",""),IF(INDEX(Reorders!A$13:A$62,MATCH(45-COUNTIFS('New Tooling Jobs'!A$13:A$62,"&lt;&gt;",'New Tooling Jobs'!E$13:E$62,"&lt;&gt;Completed"),Reorders!AC$13:AC$62,0))&lt;&gt;"","Reorder","")),"")</f>
        <v/>
      </c>
      <c r="C54" s="41">
        <f>IFERROR(IF(45&lt;=COUNTIFS('New Tooling Jobs'!A$13:A$62,"&lt;&gt;",'New Tooling Jobs'!E$13:E$62,"&lt;&gt;Completed"),INDEX('New Tooling Jobs'!B$13:B$62,MATCH(45,'New Tooling Jobs'!AG$13:AG$62,0)),INDEX(Reorders!B$13:B$62,MATCH(45-COUNTIFS('New Tooling Jobs'!A$13:A$62,"&lt;&gt;",'New Tooling Jobs'!E$13:E$62,"&lt;&gt;Completed"),Reorders!AC$13:AC$62,0))),"")</f>
        <v/>
      </c>
      <c r="D54" s="41">
        <f>IFERROR(IF(45&lt;=COUNTIFS('New Tooling Jobs'!A$13:A$62,"&lt;&gt;",'New Tooling Jobs'!E$13:E$62,"&lt;&gt;Completed"),INDEX('New Tooling Jobs'!E$13:E$62,MATCH(45,'New Tooling Jobs'!AG$13:AG$62,0)),INDEX(Reorders!E$13:E$62,MATCH(45-COUNTIFS('New Tooling Jobs'!A$13:A$62,"&lt;&gt;",'New Tooling Jobs'!E$13:E$62,"&lt;&gt;Completed"),Reorders!AC$13:AC$62,0))),"")</f>
        <v/>
      </c>
      <c r="E54" s="40">
        <f>IFERROR(IF(45&lt;=COUNTIFS('New Tooling Jobs'!A$13:A$62,"&lt;&gt;",'New Tooling Jobs'!E$13:E$62,"&lt;&gt;Completed"),INDEX('New Tooling Jobs'!G$13:G$62,MATCH(45,'New Tooling Jobs'!AG$13:AG$62,0)),INDEX(Reorders!G$13:G$62,MATCH(45-COUNTIFS('New Tooling Jobs'!A$13:A$62,"&lt;&gt;",'New Tooling Jobs'!E$13:E$62,"&lt;&gt;Completed"),Reorders!AC$13:AC$62,0))),"")</f>
        <v/>
      </c>
      <c r="F54" s="40">
        <f>IFERROR(IF(45&lt;=COUNTIFS('New Tooling Jobs'!A$13:A$62,"&lt;&gt;",'New Tooling Jobs'!E$13:E$62,"&lt;&gt;Completed"),INDEX('New Tooling Jobs'!H$13:H$62,MATCH(45,'New Tooling Jobs'!AG$13:AG$62,0)),INDEX(Reorders!H$13:H$62,MATCH(45-COUNTIFS('New Tooling Jobs'!A$13:A$62,"&lt;&gt;",'New Tooling Jobs'!E$13:E$62,"&lt;&gt;Completed"),Reorders!AC$13:AC$62,0))),"")</f>
        <v/>
      </c>
      <c r="G54" s="41">
        <f>IFERROR(IF(45&lt;=COUNTIFS('New Tooling Jobs'!A$13:A$62,"&lt;&gt;",'New Tooling Jobs'!E$13:E$62,"&lt;&gt;Completed"),INDEX('New Tooling Jobs'!I$13:I$62,MATCH(45,'New Tooling Jobs'!AG$13:AG$62,0)),INDEX(Reorders!I$13:I$62,MATCH(45-COUNTIFS('New Tooling Jobs'!A$13:A$62,"&lt;&gt;",'New Tooling Jobs'!E$13:E$62,"&lt;&gt;Completed"),Reorders!AC$13:AC$62,0))),"")</f>
        <v/>
      </c>
    </row>
    <row r="55" ht="15" customHeight="1" s="25">
      <c r="A55" s="40">
        <f>IFERROR(IF(46&lt;=COUNTIFS('New Tooling Jobs'!A$13:A$62,"&lt;&gt;",'New Tooling Jobs'!E$13:E$62,"&lt;&gt;Completed"),INDEX('New Tooling Jobs'!A$13:A$62,MATCH(46,'New Tooling Jobs'!AG$13:AG$62,0)),INDEX(Reorders!A$13:A$62,MATCH(46-COUNTIFS('New Tooling Jobs'!A$13:A$62,"&lt;&gt;",'New Tooling Jobs'!E$13:E$62,"&lt;&gt;Completed"),Reorders!AC$13:AC$62,0))),"")</f>
        <v/>
      </c>
      <c r="B55" s="40">
        <f>IFERROR(IF(46&lt;=COUNTIFS('New Tooling Jobs'!A$13:A$62,"&lt;&gt;",'New Tooling Jobs'!E$13:E$62,"&lt;&gt;Completed"),IF(INDEX('New Tooling Jobs'!A$13:A$62,MATCH(46,'New Tooling Jobs'!AG$13:AG$62,0))&lt;&gt;"","New Tooling",""),IF(INDEX(Reorders!A$13:A$62,MATCH(46-COUNTIFS('New Tooling Jobs'!A$13:A$62,"&lt;&gt;",'New Tooling Jobs'!E$13:E$62,"&lt;&gt;Completed"),Reorders!AC$13:AC$62,0))&lt;&gt;"","Reorder","")),"")</f>
        <v/>
      </c>
      <c r="C55" s="41">
        <f>IFERROR(IF(46&lt;=COUNTIFS('New Tooling Jobs'!A$13:A$62,"&lt;&gt;",'New Tooling Jobs'!E$13:E$62,"&lt;&gt;Completed"),INDEX('New Tooling Jobs'!B$13:B$62,MATCH(46,'New Tooling Jobs'!AG$13:AG$62,0)),INDEX(Reorders!B$13:B$62,MATCH(46-COUNTIFS('New Tooling Jobs'!A$13:A$62,"&lt;&gt;",'New Tooling Jobs'!E$13:E$62,"&lt;&gt;Completed"),Reorders!AC$13:AC$62,0))),"")</f>
        <v/>
      </c>
      <c r="D55" s="41">
        <f>IFERROR(IF(46&lt;=COUNTIFS('New Tooling Jobs'!A$13:A$62,"&lt;&gt;",'New Tooling Jobs'!E$13:E$62,"&lt;&gt;Completed"),INDEX('New Tooling Jobs'!E$13:E$62,MATCH(46,'New Tooling Jobs'!AG$13:AG$62,0)),INDEX(Reorders!E$13:E$62,MATCH(46-COUNTIFS('New Tooling Jobs'!A$13:A$62,"&lt;&gt;",'New Tooling Jobs'!E$13:E$62,"&lt;&gt;Completed"),Reorders!AC$13:AC$62,0))),"")</f>
        <v/>
      </c>
      <c r="E55" s="40">
        <f>IFERROR(IF(46&lt;=COUNTIFS('New Tooling Jobs'!A$13:A$62,"&lt;&gt;",'New Tooling Jobs'!E$13:E$62,"&lt;&gt;Completed"),INDEX('New Tooling Jobs'!G$13:G$62,MATCH(46,'New Tooling Jobs'!AG$13:AG$62,0)),INDEX(Reorders!G$13:G$62,MATCH(46-COUNTIFS('New Tooling Jobs'!A$13:A$62,"&lt;&gt;",'New Tooling Jobs'!E$13:E$62,"&lt;&gt;Completed"),Reorders!AC$13:AC$62,0))),"")</f>
        <v/>
      </c>
      <c r="F55" s="40">
        <f>IFERROR(IF(46&lt;=COUNTIFS('New Tooling Jobs'!A$13:A$62,"&lt;&gt;",'New Tooling Jobs'!E$13:E$62,"&lt;&gt;Completed"),INDEX('New Tooling Jobs'!H$13:H$62,MATCH(46,'New Tooling Jobs'!AG$13:AG$62,0)),INDEX(Reorders!H$13:H$62,MATCH(46-COUNTIFS('New Tooling Jobs'!A$13:A$62,"&lt;&gt;",'New Tooling Jobs'!E$13:E$62,"&lt;&gt;Completed"),Reorders!AC$13:AC$62,0))),"")</f>
        <v/>
      </c>
      <c r="G55" s="41">
        <f>IFERROR(IF(46&lt;=COUNTIFS('New Tooling Jobs'!A$13:A$62,"&lt;&gt;",'New Tooling Jobs'!E$13:E$62,"&lt;&gt;Completed"),INDEX('New Tooling Jobs'!I$13:I$62,MATCH(46,'New Tooling Jobs'!AG$13:AG$62,0)),INDEX(Reorders!I$13:I$62,MATCH(46-COUNTIFS('New Tooling Jobs'!A$13:A$62,"&lt;&gt;",'New Tooling Jobs'!E$13:E$62,"&lt;&gt;Completed"),Reorders!AC$13:AC$62,0))),"")</f>
        <v/>
      </c>
    </row>
    <row r="56" ht="15" customHeight="1" s="25">
      <c r="A56" s="40">
        <f>IFERROR(IF(47&lt;=COUNTIFS('New Tooling Jobs'!A$13:A$62,"&lt;&gt;",'New Tooling Jobs'!E$13:E$62,"&lt;&gt;Completed"),INDEX('New Tooling Jobs'!A$13:A$62,MATCH(47,'New Tooling Jobs'!AG$13:AG$62,0)),INDEX(Reorders!A$13:A$62,MATCH(47-COUNTIFS('New Tooling Jobs'!A$13:A$62,"&lt;&gt;",'New Tooling Jobs'!E$13:E$62,"&lt;&gt;Completed"),Reorders!AC$13:AC$62,0))),"")</f>
        <v/>
      </c>
      <c r="B56" s="40">
        <f>IFERROR(IF(47&lt;=COUNTIFS('New Tooling Jobs'!A$13:A$62,"&lt;&gt;",'New Tooling Jobs'!E$13:E$62,"&lt;&gt;Completed"),IF(INDEX('New Tooling Jobs'!A$13:A$62,MATCH(47,'New Tooling Jobs'!AG$13:AG$62,0))&lt;&gt;"","New Tooling",""),IF(INDEX(Reorders!A$13:A$62,MATCH(47-COUNTIFS('New Tooling Jobs'!A$13:A$62,"&lt;&gt;",'New Tooling Jobs'!E$13:E$62,"&lt;&gt;Completed"),Reorders!AC$13:AC$62,0))&lt;&gt;"","Reorder","")),"")</f>
        <v/>
      </c>
      <c r="C56" s="41">
        <f>IFERROR(IF(47&lt;=COUNTIFS('New Tooling Jobs'!A$13:A$62,"&lt;&gt;",'New Tooling Jobs'!E$13:E$62,"&lt;&gt;Completed"),INDEX('New Tooling Jobs'!B$13:B$62,MATCH(47,'New Tooling Jobs'!AG$13:AG$62,0)),INDEX(Reorders!B$13:B$62,MATCH(47-COUNTIFS('New Tooling Jobs'!A$13:A$62,"&lt;&gt;",'New Tooling Jobs'!E$13:E$62,"&lt;&gt;Completed"),Reorders!AC$13:AC$62,0))),"")</f>
        <v/>
      </c>
      <c r="D56" s="41">
        <f>IFERROR(IF(47&lt;=COUNTIFS('New Tooling Jobs'!A$13:A$62,"&lt;&gt;",'New Tooling Jobs'!E$13:E$62,"&lt;&gt;Completed"),INDEX('New Tooling Jobs'!E$13:E$62,MATCH(47,'New Tooling Jobs'!AG$13:AG$62,0)),INDEX(Reorders!E$13:E$62,MATCH(47-COUNTIFS('New Tooling Jobs'!A$13:A$62,"&lt;&gt;",'New Tooling Jobs'!E$13:E$62,"&lt;&gt;Completed"),Reorders!AC$13:AC$62,0))),"")</f>
        <v/>
      </c>
      <c r="E56" s="40">
        <f>IFERROR(IF(47&lt;=COUNTIFS('New Tooling Jobs'!A$13:A$62,"&lt;&gt;",'New Tooling Jobs'!E$13:E$62,"&lt;&gt;Completed"),INDEX('New Tooling Jobs'!G$13:G$62,MATCH(47,'New Tooling Jobs'!AG$13:AG$62,0)),INDEX(Reorders!G$13:G$62,MATCH(47-COUNTIFS('New Tooling Jobs'!A$13:A$62,"&lt;&gt;",'New Tooling Jobs'!E$13:E$62,"&lt;&gt;Completed"),Reorders!AC$13:AC$62,0))),"")</f>
        <v/>
      </c>
      <c r="F56" s="40">
        <f>IFERROR(IF(47&lt;=COUNTIFS('New Tooling Jobs'!A$13:A$62,"&lt;&gt;",'New Tooling Jobs'!E$13:E$62,"&lt;&gt;Completed"),INDEX('New Tooling Jobs'!H$13:H$62,MATCH(47,'New Tooling Jobs'!AG$13:AG$62,0)),INDEX(Reorders!H$13:H$62,MATCH(47-COUNTIFS('New Tooling Jobs'!A$13:A$62,"&lt;&gt;",'New Tooling Jobs'!E$13:E$62,"&lt;&gt;Completed"),Reorders!AC$13:AC$62,0))),"")</f>
        <v/>
      </c>
      <c r="G56" s="41">
        <f>IFERROR(IF(47&lt;=COUNTIFS('New Tooling Jobs'!A$13:A$62,"&lt;&gt;",'New Tooling Jobs'!E$13:E$62,"&lt;&gt;Completed"),INDEX('New Tooling Jobs'!I$13:I$62,MATCH(47,'New Tooling Jobs'!AG$13:AG$62,0)),INDEX(Reorders!I$13:I$62,MATCH(47-COUNTIFS('New Tooling Jobs'!A$13:A$62,"&lt;&gt;",'New Tooling Jobs'!E$13:E$62,"&lt;&gt;Completed"),Reorders!AC$13:AC$62,0))),"")</f>
        <v/>
      </c>
    </row>
    <row r="57" ht="15" customHeight="1" s="25">
      <c r="A57" s="40">
        <f>IFERROR(IF(48&lt;=COUNTIFS('New Tooling Jobs'!A$13:A$62,"&lt;&gt;",'New Tooling Jobs'!E$13:E$62,"&lt;&gt;Completed"),INDEX('New Tooling Jobs'!A$13:A$62,MATCH(48,'New Tooling Jobs'!AG$13:AG$62,0)),INDEX(Reorders!A$13:A$62,MATCH(48-COUNTIFS('New Tooling Jobs'!A$13:A$62,"&lt;&gt;",'New Tooling Jobs'!E$13:E$62,"&lt;&gt;Completed"),Reorders!AC$13:AC$62,0))),"")</f>
        <v/>
      </c>
      <c r="B57" s="40">
        <f>IFERROR(IF(48&lt;=COUNTIFS('New Tooling Jobs'!A$13:A$62,"&lt;&gt;",'New Tooling Jobs'!E$13:E$62,"&lt;&gt;Completed"),IF(INDEX('New Tooling Jobs'!A$13:A$62,MATCH(48,'New Tooling Jobs'!AG$13:AG$62,0))&lt;&gt;"","New Tooling",""),IF(INDEX(Reorders!A$13:A$62,MATCH(48-COUNTIFS('New Tooling Jobs'!A$13:A$62,"&lt;&gt;",'New Tooling Jobs'!E$13:E$62,"&lt;&gt;Completed"),Reorders!AC$13:AC$62,0))&lt;&gt;"","Reorder","")),"")</f>
        <v/>
      </c>
      <c r="C57" s="41">
        <f>IFERROR(IF(48&lt;=COUNTIFS('New Tooling Jobs'!A$13:A$62,"&lt;&gt;",'New Tooling Jobs'!E$13:E$62,"&lt;&gt;Completed"),INDEX('New Tooling Jobs'!B$13:B$62,MATCH(48,'New Tooling Jobs'!AG$13:AG$62,0)),INDEX(Reorders!B$13:B$62,MATCH(48-COUNTIFS('New Tooling Jobs'!A$13:A$62,"&lt;&gt;",'New Tooling Jobs'!E$13:E$62,"&lt;&gt;Completed"),Reorders!AC$13:AC$62,0))),"")</f>
        <v/>
      </c>
      <c r="D57" s="41">
        <f>IFERROR(IF(48&lt;=COUNTIFS('New Tooling Jobs'!A$13:A$62,"&lt;&gt;",'New Tooling Jobs'!E$13:E$62,"&lt;&gt;Completed"),INDEX('New Tooling Jobs'!E$13:E$62,MATCH(48,'New Tooling Jobs'!AG$13:AG$62,0)),INDEX(Reorders!E$13:E$62,MATCH(48-COUNTIFS('New Tooling Jobs'!A$13:A$62,"&lt;&gt;",'New Tooling Jobs'!E$13:E$62,"&lt;&gt;Completed"),Reorders!AC$13:AC$62,0))),"")</f>
        <v/>
      </c>
      <c r="E57" s="40">
        <f>IFERROR(IF(48&lt;=COUNTIFS('New Tooling Jobs'!A$13:A$62,"&lt;&gt;",'New Tooling Jobs'!E$13:E$62,"&lt;&gt;Completed"),INDEX('New Tooling Jobs'!G$13:G$62,MATCH(48,'New Tooling Jobs'!AG$13:AG$62,0)),INDEX(Reorders!G$13:G$62,MATCH(48-COUNTIFS('New Tooling Jobs'!A$13:A$62,"&lt;&gt;",'New Tooling Jobs'!E$13:E$62,"&lt;&gt;Completed"),Reorders!AC$13:AC$62,0))),"")</f>
        <v/>
      </c>
      <c r="F57" s="40">
        <f>IFERROR(IF(48&lt;=COUNTIFS('New Tooling Jobs'!A$13:A$62,"&lt;&gt;",'New Tooling Jobs'!E$13:E$62,"&lt;&gt;Completed"),INDEX('New Tooling Jobs'!H$13:H$62,MATCH(48,'New Tooling Jobs'!AG$13:AG$62,0)),INDEX(Reorders!H$13:H$62,MATCH(48-COUNTIFS('New Tooling Jobs'!A$13:A$62,"&lt;&gt;",'New Tooling Jobs'!E$13:E$62,"&lt;&gt;Completed"),Reorders!AC$13:AC$62,0))),"")</f>
        <v/>
      </c>
      <c r="G57" s="41">
        <f>IFERROR(IF(48&lt;=COUNTIFS('New Tooling Jobs'!A$13:A$62,"&lt;&gt;",'New Tooling Jobs'!E$13:E$62,"&lt;&gt;Completed"),INDEX('New Tooling Jobs'!I$13:I$62,MATCH(48,'New Tooling Jobs'!AG$13:AG$62,0)),INDEX(Reorders!I$13:I$62,MATCH(48-COUNTIFS('New Tooling Jobs'!A$13:A$62,"&lt;&gt;",'New Tooling Jobs'!E$13:E$62,"&lt;&gt;Completed"),Reorders!AC$13:AC$62,0))),"")</f>
        <v/>
      </c>
    </row>
    <row r="58" ht="15" customHeight="1" s="25">
      <c r="A58" s="40">
        <f>IFERROR(IF(49&lt;=COUNTIFS('New Tooling Jobs'!A$13:A$62,"&lt;&gt;",'New Tooling Jobs'!E$13:E$62,"&lt;&gt;Completed"),INDEX('New Tooling Jobs'!A$13:A$62,MATCH(49,'New Tooling Jobs'!AG$13:AG$62,0)),INDEX(Reorders!A$13:A$62,MATCH(49-COUNTIFS('New Tooling Jobs'!A$13:A$62,"&lt;&gt;",'New Tooling Jobs'!E$13:E$62,"&lt;&gt;Completed"),Reorders!AC$13:AC$62,0))),"")</f>
        <v/>
      </c>
      <c r="B58" s="40">
        <f>IFERROR(IF(49&lt;=COUNTIFS('New Tooling Jobs'!A$13:A$62,"&lt;&gt;",'New Tooling Jobs'!E$13:E$62,"&lt;&gt;Completed"),IF(INDEX('New Tooling Jobs'!A$13:A$62,MATCH(49,'New Tooling Jobs'!AG$13:AG$62,0))&lt;&gt;"","New Tooling",""),IF(INDEX(Reorders!A$13:A$62,MATCH(49-COUNTIFS('New Tooling Jobs'!A$13:A$62,"&lt;&gt;",'New Tooling Jobs'!E$13:E$62,"&lt;&gt;Completed"),Reorders!AC$13:AC$62,0))&lt;&gt;"","Reorder","")),"")</f>
        <v/>
      </c>
      <c r="C58" s="41">
        <f>IFERROR(IF(49&lt;=COUNTIFS('New Tooling Jobs'!A$13:A$62,"&lt;&gt;",'New Tooling Jobs'!E$13:E$62,"&lt;&gt;Completed"),INDEX('New Tooling Jobs'!B$13:B$62,MATCH(49,'New Tooling Jobs'!AG$13:AG$62,0)),INDEX(Reorders!B$13:B$62,MATCH(49-COUNTIFS('New Tooling Jobs'!A$13:A$62,"&lt;&gt;",'New Tooling Jobs'!E$13:E$62,"&lt;&gt;Completed"),Reorders!AC$13:AC$62,0))),"")</f>
        <v/>
      </c>
      <c r="D58" s="41">
        <f>IFERROR(IF(49&lt;=COUNTIFS('New Tooling Jobs'!A$13:A$62,"&lt;&gt;",'New Tooling Jobs'!E$13:E$62,"&lt;&gt;Completed"),INDEX('New Tooling Jobs'!E$13:E$62,MATCH(49,'New Tooling Jobs'!AG$13:AG$62,0)),INDEX(Reorders!E$13:E$62,MATCH(49-COUNTIFS('New Tooling Jobs'!A$13:A$62,"&lt;&gt;",'New Tooling Jobs'!E$13:E$62,"&lt;&gt;Completed"),Reorders!AC$13:AC$62,0))),"")</f>
        <v/>
      </c>
      <c r="E58" s="40">
        <f>IFERROR(IF(49&lt;=COUNTIFS('New Tooling Jobs'!A$13:A$62,"&lt;&gt;",'New Tooling Jobs'!E$13:E$62,"&lt;&gt;Completed"),INDEX('New Tooling Jobs'!G$13:G$62,MATCH(49,'New Tooling Jobs'!AG$13:AG$62,0)),INDEX(Reorders!G$13:G$62,MATCH(49-COUNTIFS('New Tooling Jobs'!A$13:A$62,"&lt;&gt;",'New Tooling Jobs'!E$13:E$62,"&lt;&gt;Completed"),Reorders!AC$13:AC$62,0))),"")</f>
        <v/>
      </c>
      <c r="F58" s="40">
        <f>IFERROR(IF(49&lt;=COUNTIFS('New Tooling Jobs'!A$13:A$62,"&lt;&gt;",'New Tooling Jobs'!E$13:E$62,"&lt;&gt;Completed"),INDEX('New Tooling Jobs'!H$13:H$62,MATCH(49,'New Tooling Jobs'!AG$13:AG$62,0)),INDEX(Reorders!H$13:H$62,MATCH(49-COUNTIFS('New Tooling Jobs'!A$13:A$62,"&lt;&gt;",'New Tooling Jobs'!E$13:E$62,"&lt;&gt;Completed"),Reorders!AC$13:AC$62,0))),"")</f>
        <v/>
      </c>
      <c r="G58" s="41">
        <f>IFERROR(IF(49&lt;=COUNTIFS('New Tooling Jobs'!A$13:A$62,"&lt;&gt;",'New Tooling Jobs'!E$13:E$62,"&lt;&gt;Completed"),INDEX('New Tooling Jobs'!I$13:I$62,MATCH(49,'New Tooling Jobs'!AG$13:AG$62,0)),INDEX(Reorders!I$13:I$62,MATCH(49-COUNTIFS('New Tooling Jobs'!A$13:A$62,"&lt;&gt;",'New Tooling Jobs'!E$13:E$62,"&lt;&gt;Completed"),Reorders!AC$13:AC$62,0))),"")</f>
        <v/>
      </c>
    </row>
    <row r="59" ht="15" customHeight="1" s="25">
      <c r="A59" s="40">
        <f>IFERROR(IF(50&lt;=COUNTIFS('New Tooling Jobs'!A$13:A$62,"&lt;&gt;",'New Tooling Jobs'!E$13:E$62,"&lt;&gt;Completed"),INDEX('New Tooling Jobs'!A$13:A$62,MATCH(50,'New Tooling Jobs'!AG$13:AG$62,0)),INDEX(Reorders!A$13:A$62,MATCH(50-COUNTIFS('New Tooling Jobs'!A$13:A$62,"&lt;&gt;",'New Tooling Jobs'!E$13:E$62,"&lt;&gt;Completed"),Reorders!AC$13:AC$62,0))),"")</f>
        <v/>
      </c>
      <c r="B59" s="40">
        <f>IFERROR(IF(50&lt;=COUNTIFS('New Tooling Jobs'!A$13:A$62,"&lt;&gt;",'New Tooling Jobs'!E$13:E$62,"&lt;&gt;Completed"),IF(INDEX('New Tooling Jobs'!A$13:A$62,MATCH(50,'New Tooling Jobs'!AG$13:AG$62,0))&lt;&gt;"","New Tooling",""),IF(INDEX(Reorders!A$13:A$62,MATCH(50-COUNTIFS('New Tooling Jobs'!A$13:A$62,"&lt;&gt;",'New Tooling Jobs'!E$13:E$62,"&lt;&gt;Completed"),Reorders!AC$13:AC$62,0))&lt;&gt;"","Reorder","")),"")</f>
        <v/>
      </c>
      <c r="C59" s="41">
        <f>IFERROR(IF(50&lt;=COUNTIFS('New Tooling Jobs'!A$13:A$62,"&lt;&gt;",'New Tooling Jobs'!E$13:E$62,"&lt;&gt;Completed"),INDEX('New Tooling Jobs'!B$13:B$62,MATCH(50,'New Tooling Jobs'!AG$13:AG$62,0)),INDEX(Reorders!B$13:B$62,MATCH(50-COUNTIFS('New Tooling Jobs'!A$13:A$62,"&lt;&gt;",'New Tooling Jobs'!E$13:E$62,"&lt;&gt;Completed"),Reorders!AC$13:AC$62,0))),"")</f>
        <v/>
      </c>
      <c r="D59" s="41">
        <f>IFERROR(IF(50&lt;=COUNTIFS('New Tooling Jobs'!A$13:A$62,"&lt;&gt;",'New Tooling Jobs'!E$13:E$62,"&lt;&gt;Completed"),INDEX('New Tooling Jobs'!E$13:E$62,MATCH(50,'New Tooling Jobs'!AG$13:AG$62,0)),INDEX(Reorders!E$13:E$62,MATCH(50-COUNTIFS('New Tooling Jobs'!A$13:A$62,"&lt;&gt;",'New Tooling Jobs'!E$13:E$62,"&lt;&gt;Completed"),Reorders!AC$13:AC$62,0))),"")</f>
        <v/>
      </c>
      <c r="E59" s="40">
        <f>IFERROR(IF(50&lt;=COUNTIFS('New Tooling Jobs'!A$13:A$62,"&lt;&gt;",'New Tooling Jobs'!E$13:E$62,"&lt;&gt;Completed"),INDEX('New Tooling Jobs'!G$13:G$62,MATCH(50,'New Tooling Jobs'!AG$13:AG$62,0)),INDEX(Reorders!G$13:G$62,MATCH(50-COUNTIFS('New Tooling Jobs'!A$13:A$62,"&lt;&gt;",'New Tooling Jobs'!E$13:E$62,"&lt;&gt;Completed"),Reorders!AC$13:AC$62,0))),"")</f>
        <v/>
      </c>
      <c r="F59" s="40">
        <f>IFERROR(IF(50&lt;=COUNTIFS('New Tooling Jobs'!A$13:A$62,"&lt;&gt;",'New Tooling Jobs'!E$13:E$62,"&lt;&gt;Completed"),INDEX('New Tooling Jobs'!H$13:H$62,MATCH(50,'New Tooling Jobs'!AG$13:AG$62,0)),INDEX(Reorders!H$13:H$62,MATCH(50-COUNTIFS('New Tooling Jobs'!A$13:A$62,"&lt;&gt;",'New Tooling Jobs'!E$13:E$62,"&lt;&gt;Completed"),Reorders!AC$13:AC$62,0))),"")</f>
        <v/>
      </c>
      <c r="G59" s="41">
        <f>IFERROR(IF(50&lt;=COUNTIFS('New Tooling Jobs'!A$13:A$62,"&lt;&gt;",'New Tooling Jobs'!E$13:E$62,"&lt;&gt;Completed"),INDEX('New Tooling Jobs'!I$13:I$62,MATCH(50,'New Tooling Jobs'!AG$13:AG$62,0)),INDEX(Reorders!I$13:I$62,MATCH(50-COUNTIFS('New Tooling Jobs'!A$13:A$62,"&lt;&gt;",'New Tooling Jobs'!E$13:E$62,"&lt;&gt;Completed"),Reorders!AC$13:AC$62,0))),"")</f>
        <v/>
      </c>
    </row>
    <row r="60" ht="15" customHeight="1" s="25">
      <c r="A60" s="40">
        <f>IFERROR(IF(51&lt;=COUNTIFS('New Tooling Jobs'!A$13:A$62,"&lt;&gt;",'New Tooling Jobs'!E$13:E$62,"&lt;&gt;Completed"),INDEX('New Tooling Jobs'!A$13:A$62,MATCH(51,'New Tooling Jobs'!AG$13:AG$62,0)),INDEX(Reorders!A$13:A$62,MATCH(51-COUNTIFS('New Tooling Jobs'!A$13:A$62,"&lt;&gt;",'New Tooling Jobs'!E$13:E$62,"&lt;&gt;Completed"),Reorders!AC$13:AC$62,0))),"")</f>
        <v/>
      </c>
      <c r="B60" s="40">
        <f>IFERROR(IF(51&lt;=COUNTIFS('New Tooling Jobs'!A$13:A$62,"&lt;&gt;",'New Tooling Jobs'!E$13:E$62,"&lt;&gt;Completed"),IF(INDEX('New Tooling Jobs'!A$13:A$62,MATCH(51,'New Tooling Jobs'!AG$13:AG$62,0))&lt;&gt;"","New Tooling",""),IF(INDEX(Reorders!A$13:A$62,MATCH(51-COUNTIFS('New Tooling Jobs'!A$13:A$62,"&lt;&gt;",'New Tooling Jobs'!E$13:E$62,"&lt;&gt;Completed"),Reorders!AC$13:AC$62,0))&lt;&gt;"","Reorder","")),"")</f>
        <v/>
      </c>
      <c r="C60" s="41">
        <f>IFERROR(IF(51&lt;=COUNTIFS('New Tooling Jobs'!A$13:A$62,"&lt;&gt;",'New Tooling Jobs'!E$13:E$62,"&lt;&gt;Completed"),INDEX('New Tooling Jobs'!B$13:B$62,MATCH(51,'New Tooling Jobs'!AG$13:AG$62,0)),INDEX(Reorders!B$13:B$62,MATCH(51-COUNTIFS('New Tooling Jobs'!A$13:A$62,"&lt;&gt;",'New Tooling Jobs'!E$13:E$62,"&lt;&gt;Completed"),Reorders!AC$13:AC$62,0))),"")</f>
        <v/>
      </c>
      <c r="D60" s="41">
        <f>IFERROR(IF(51&lt;=COUNTIFS('New Tooling Jobs'!A$13:A$62,"&lt;&gt;",'New Tooling Jobs'!E$13:E$62,"&lt;&gt;Completed"),INDEX('New Tooling Jobs'!E$13:E$62,MATCH(51,'New Tooling Jobs'!AG$13:AG$62,0)),INDEX(Reorders!E$13:E$62,MATCH(51-COUNTIFS('New Tooling Jobs'!A$13:A$62,"&lt;&gt;",'New Tooling Jobs'!E$13:E$62,"&lt;&gt;Completed"),Reorders!AC$13:AC$62,0))),"")</f>
        <v/>
      </c>
      <c r="E60" s="40">
        <f>IFERROR(IF(51&lt;=COUNTIFS('New Tooling Jobs'!A$13:A$62,"&lt;&gt;",'New Tooling Jobs'!E$13:E$62,"&lt;&gt;Completed"),INDEX('New Tooling Jobs'!G$13:G$62,MATCH(51,'New Tooling Jobs'!AG$13:AG$62,0)),INDEX(Reorders!G$13:G$62,MATCH(51-COUNTIFS('New Tooling Jobs'!A$13:A$62,"&lt;&gt;",'New Tooling Jobs'!E$13:E$62,"&lt;&gt;Completed"),Reorders!AC$13:AC$62,0))),"")</f>
        <v/>
      </c>
      <c r="F60" s="40">
        <f>IFERROR(IF(51&lt;=COUNTIFS('New Tooling Jobs'!A$13:A$62,"&lt;&gt;",'New Tooling Jobs'!E$13:E$62,"&lt;&gt;Completed"),INDEX('New Tooling Jobs'!H$13:H$62,MATCH(51,'New Tooling Jobs'!AG$13:AG$62,0)),INDEX(Reorders!H$13:H$62,MATCH(51-COUNTIFS('New Tooling Jobs'!A$13:A$62,"&lt;&gt;",'New Tooling Jobs'!E$13:E$62,"&lt;&gt;Completed"),Reorders!AC$13:AC$62,0))),"")</f>
        <v/>
      </c>
      <c r="G60" s="41">
        <f>IFERROR(IF(51&lt;=COUNTIFS('New Tooling Jobs'!A$13:A$62,"&lt;&gt;",'New Tooling Jobs'!E$13:E$62,"&lt;&gt;Completed"),INDEX('New Tooling Jobs'!I$13:I$62,MATCH(51,'New Tooling Jobs'!AG$13:AG$62,0)),INDEX(Reorders!I$13:I$62,MATCH(51-COUNTIFS('New Tooling Jobs'!A$13:A$62,"&lt;&gt;",'New Tooling Jobs'!E$13:E$62,"&lt;&gt;Completed"),Reorders!AC$13:AC$62,0))),"")</f>
        <v/>
      </c>
    </row>
    <row r="61" ht="21.75" customHeight="1" s="25">
      <c r="A61" s="42">
        <f>IFERROR(IF(52&lt;=COUNTIFS('New Tooling Jobs'!A$13:A$62,"&lt;&gt;",'New Tooling Jobs'!E$13:E$62,"&lt;&gt;Completed"),INDEX('New Tooling Jobs'!A$13:A$62,MATCH(52,'New Tooling Jobs'!AG$13:AG$62,0)),INDEX(Reorders!A$13:A$62,MATCH(52-COUNTIFS('New Tooling Jobs'!A$13:A$62,"&lt;&gt;",'New Tooling Jobs'!E$13:E$62,"&lt;&gt;Completed"),Reorders!AC$13:AC$62,0))),"")</f>
        <v/>
      </c>
      <c r="B61" s="39">
        <f>IFERROR(IF(52&lt;=COUNTIFS('New Tooling Jobs'!A$13:A$62,"&lt;&gt;",'New Tooling Jobs'!E$13:E$62,"&lt;&gt;Completed"),IF(INDEX('New Tooling Jobs'!A$13:A$62,MATCH(52,'New Tooling Jobs'!AG$13:AG$62,0))&lt;&gt;"","New Tooling",""),IF(INDEX(Reorders!A$13:A$62,MATCH(52-COUNTIFS('New Tooling Jobs'!A$13:A$62,"&lt;&gt;",'New Tooling Jobs'!E$13:E$62,"&lt;&gt;Completed"),Reorders!AC$13:AC$62,0))&lt;&gt;"","Reorder","")),"")</f>
        <v/>
      </c>
      <c r="C61" s="39">
        <f>IFERROR(IF(52&lt;=COUNTIFS('New Tooling Jobs'!A$13:A$62,"&lt;&gt;",'New Tooling Jobs'!E$13:E$62,"&lt;&gt;Completed"),INDEX('New Tooling Jobs'!B$13:B$62,MATCH(52,'New Tooling Jobs'!AG$13:AG$62,0)),INDEX(Reorders!B$13:B$62,MATCH(52-COUNTIFS('New Tooling Jobs'!A$13:A$62,"&lt;&gt;",'New Tooling Jobs'!E$13:E$62,"&lt;&gt;Completed"),Reorders!AC$13:AC$62,0))),"")</f>
        <v/>
      </c>
      <c r="D61" s="39">
        <f>IFERROR(IF(52&lt;=COUNTIFS('New Tooling Jobs'!A$13:A$62,"&lt;&gt;",'New Tooling Jobs'!E$13:E$62,"&lt;&gt;Completed"),INDEX('New Tooling Jobs'!E$13:E$62,MATCH(52,'New Tooling Jobs'!AG$13:AG$62,0)),INDEX(Reorders!E$13:E$62,MATCH(52-COUNTIFS('New Tooling Jobs'!A$13:A$62,"&lt;&gt;",'New Tooling Jobs'!E$13:E$62,"&lt;&gt;Completed"),Reorders!AC$13:AC$62,0))),"")</f>
        <v/>
      </c>
      <c r="E61" s="39">
        <f>IFERROR(IF(52&lt;=COUNTIFS('New Tooling Jobs'!A$13:A$62,"&lt;&gt;",'New Tooling Jobs'!E$13:E$62,"&lt;&gt;Completed"),INDEX('New Tooling Jobs'!G$13:G$62,MATCH(52,'New Tooling Jobs'!AG$13:AG$62,0)),INDEX(Reorders!G$13:G$62,MATCH(52-COUNTIFS('New Tooling Jobs'!A$13:A$62,"&lt;&gt;",'New Tooling Jobs'!E$13:E$62,"&lt;&gt;Completed"),Reorders!AC$13:AC$62,0))),"")</f>
        <v/>
      </c>
      <c r="F61" s="39">
        <f>IFERROR(IF(52&lt;=COUNTIFS('New Tooling Jobs'!A$13:A$62,"&lt;&gt;",'New Tooling Jobs'!E$13:E$62,"&lt;&gt;Completed"),INDEX('New Tooling Jobs'!H$13:H$62,MATCH(52,'New Tooling Jobs'!AG$13:AG$62,0)),INDEX(Reorders!H$13:H$62,MATCH(52-COUNTIFS('New Tooling Jobs'!A$13:A$62,"&lt;&gt;",'New Tooling Jobs'!E$13:E$62,"&lt;&gt;Completed"),Reorders!AC$13:AC$62,0))),"")</f>
        <v/>
      </c>
      <c r="G61" s="43">
        <f>IFERROR(IF(52&lt;=COUNTIFS('New Tooling Jobs'!A$13:A$62,"&lt;&gt;",'New Tooling Jobs'!E$13:E$62,"&lt;&gt;Completed"),INDEX('New Tooling Jobs'!I$13:I$62,MATCH(52,'New Tooling Jobs'!AG$13:AG$62,0)),INDEX(Reorders!I$13:I$62,MATCH(52-COUNTIFS('New Tooling Jobs'!A$13:A$62,"&lt;&gt;",'New Tooling Jobs'!E$13:E$62,"&lt;&gt;Completed"),Reorders!AC$13:AC$62,0))),"")</f>
        <v/>
      </c>
    </row>
    <row r="62" ht="15" customHeight="1" s="25">
      <c r="A62" s="40">
        <f>IFERROR(IF(53&lt;=COUNTIFS('New Tooling Jobs'!A$13:A$62,"&lt;&gt;",'New Tooling Jobs'!E$13:E$62,"&lt;&gt;Completed"),INDEX('New Tooling Jobs'!A$13:A$62,MATCH(53,'New Tooling Jobs'!AG$13:AG$62,0)),INDEX(Reorders!A$13:A$62,MATCH(53-COUNTIFS('New Tooling Jobs'!A$13:A$62,"&lt;&gt;",'New Tooling Jobs'!E$13:E$62,"&lt;&gt;Completed"),Reorders!AC$13:AC$62,0))),"")</f>
        <v/>
      </c>
      <c r="B62" s="40">
        <f>IFERROR(IF(53&lt;=COUNTIFS('New Tooling Jobs'!A$13:A$62,"&lt;&gt;",'New Tooling Jobs'!E$13:E$62,"&lt;&gt;Completed"),IF(INDEX('New Tooling Jobs'!A$13:A$62,MATCH(53,'New Tooling Jobs'!AG$13:AG$62,0))&lt;&gt;"","New Tooling",""),IF(INDEX(Reorders!A$13:A$62,MATCH(53-COUNTIFS('New Tooling Jobs'!A$13:A$62,"&lt;&gt;",'New Tooling Jobs'!E$13:E$62,"&lt;&gt;Completed"),Reorders!AC$13:AC$62,0))&lt;&gt;"","Reorder","")),"")</f>
        <v/>
      </c>
      <c r="C62" s="41">
        <f>IFERROR(IF(53&lt;=COUNTIFS('New Tooling Jobs'!A$13:A$62,"&lt;&gt;",'New Tooling Jobs'!E$13:E$62,"&lt;&gt;Completed"),INDEX('New Tooling Jobs'!B$13:B$62,MATCH(53,'New Tooling Jobs'!AG$13:AG$62,0)),INDEX(Reorders!B$13:B$62,MATCH(53-COUNTIFS('New Tooling Jobs'!A$13:A$62,"&lt;&gt;",'New Tooling Jobs'!E$13:E$62,"&lt;&gt;Completed"),Reorders!AC$13:AC$62,0))),"")</f>
        <v/>
      </c>
      <c r="D62" s="41">
        <f>IFERROR(IF(53&lt;=COUNTIFS('New Tooling Jobs'!A$13:A$62,"&lt;&gt;",'New Tooling Jobs'!E$13:E$62,"&lt;&gt;Completed"),INDEX('New Tooling Jobs'!E$13:E$62,MATCH(53,'New Tooling Jobs'!AG$13:AG$62,0)),INDEX(Reorders!E$13:E$62,MATCH(53-COUNTIFS('New Tooling Jobs'!A$13:A$62,"&lt;&gt;",'New Tooling Jobs'!E$13:E$62,"&lt;&gt;Completed"),Reorders!AC$13:AC$62,0))),"")</f>
        <v/>
      </c>
      <c r="E62" s="40">
        <f>IFERROR(IF(53&lt;=COUNTIFS('New Tooling Jobs'!A$13:A$62,"&lt;&gt;",'New Tooling Jobs'!E$13:E$62,"&lt;&gt;Completed"),INDEX('New Tooling Jobs'!G$13:G$62,MATCH(53,'New Tooling Jobs'!AG$13:AG$62,0)),INDEX(Reorders!G$13:G$62,MATCH(53-COUNTIFS('New Tooling Jobs'!A$13:A$62,"&lt;&gt;",'New Tooling Jobs'!E$13:E$62,"&lt;&gt;Completed"),Reorders!AC$13:AC$62,0))),"")</f>
        <v/>
      </c>
      <c r="F62" s="40">
        <f>IFERROR(IF(53&lt;=COUNTIFS('New Tooling Jobs'!A$13:A$62,"&lt;&gt;",'New Tooling Jobs'!E$13:E$62,"&lt;&gt;Completed"),INDEX('New Tooling Jobs'!H$13:H$62,MATCH(53,'New Tooling Jobs'!AG$13:AG$62,0)),INDEX(Reorders!H$13:H$62,MATCH(53-COUNTIFS('New Tooling Jobs'!A$13:A$62,"&lt;&gt;",'New Tooling Jobs'!E$13:E$62,"&lt;&gt;Completed"),Reorders!AC$13:AC$62,0))),"")</f>
        <v/>
      </c>
      <c r="G62" s="41">
        <f>IFERROR(IF(53&lt;=COUNTIFS('New Tooling Jobs'!A$13:A$62,"&lt;&gt;",'New Tooling Jobs'!E$13:E$62,"&lt;&gt;Completed"),INDEX('New Tooling Jobs'!I$13:I$62,MATCH(53,'New Tooling Jobs'!AG$13:AG$62,0)),INDEX(Reorders!I$13:I$62,MATCH(53-COUNTIFS('New Tooling Jobs'!A$13:A$62,"&lt;&gt;",'New Tooling Jobs'!E$13:E$62,"&lt;&gt;Completed"),Reorders!AC$13:AC$62,0))),"")</f>
        <v/>
      </c>
    </row>
    <row r="63" ht="15" customHeight="1" s="25">
      <c r="A63" s="40">
        <f>IFERROR(IF(54&lt;=COUNTIFS('New Tooling Jobs'!A$13:A$62,"&lt;&gt;",'New Tooling Jobs'!E$13:E$62,"&lt;&gt;Completed"),INDEX('New Tooling Jobs'!A$13:A$62,MATCH(54,'New Tooling Jobs'!AG$13:AG$62,0)),INDEX(Reorders!A$13:A$62,MATCH(54-COUNTIFS('New Tooling Jobs'!A$13:A$62,"&lt;&gt;",'New Tooling Jobs'!E$13:E$62,"&lt;&gt;Completed"),Reorders!AC$13:AC$62,0))),"")</f>
        <v/>
      </c>
      <c r="B63" s="40">
        <f>IFERROR(IF(54&lt;=COUNTIFS('New Tooling Jobs'!A$13:A$62,"&lt;&gt;",'New Tooling Jobs'!E$13:E$62,"&lt;&gt;Completed"),IF(INDEX('New Tooling Jobs'!A$13:A$62,MATCH(54,'New Tooling Jobs'!AG$13:AG$62,0))&lt;&gt;"","New Tooling",""),IF(INDEX(Reorders!A$13:A$62,MATCH(54-COUNTIFS('New Tooling Jobs'!A$13:A$62,"&lt;&gt;",'New Tooling Jobs'!E$13:E$62,"&lt;&gt;Completed"),Reorders!AC$13:AC$62,0))&lt;&gt;"","Reorder","")),"")</f>
        <v/>
      </c>
      <c r="C63" s="41">
        <f>IFERROR(IF(54&lt;=COUNTIFS('New Tooling Jobs'!A$13:A$62,"&lt;&gt;",'New Tooling Jobs'!E$13:E$62,"&lt;&gt;Completed"),INDEX('New Tooling Jobs'!B$13:B$62,MATCH(54,'New Tooling Jobs'!AG$13:AG$62,0)),INDEX(Reorders!B$13:B$62,MATCH(54-COUNTIFS('New Tooling Jobs'!A$13:A$62,"&lt;&gt;",'New Tooling Jobs'!E$13:E$62,"&lt;&gt;Completed"),Reorders!AC$13:AC$62,0))),"")</f>
        <v/>
      </c>
      <c r="D63" s="41">
        <f>IFERROR(IF(54&lt;=COUNTIFS('New Tooling Jobs'!A$13:A$62,"&lt;&gt;",'New Tooling Jobs'!E$13:E$62,"&lt;&gt;Completed"),INDEX('New Tooling Jobs'!E$13:E$62,MATCH(54,'New Tooling Jobs'!AG$13:AG$62,0)),INDEX(Reorders!E$13:E$62,MATCH(54-COUNTIFS('New Tooling Jobs'!A$13:A$62,"&lt;&gt;",'New Tooling Jobs'!E$13:E$62,"&lt;&gt;Completed"),Reorders!AC$13:AC$62,0))),"")</f>
        <v/>
      </c>
      <c r="E63" s="40">
        <f>IFERROR(IF(54&lt;=COUNTIFS('New Tooling Jobs'!A$13:A$62,"&lt;&gt;",'New Tooling Jobs'!E$13:E$62,"&lt;&gt;Completed"),INDEX('New Tooling Jobs'!G$13:G$62,MATCH(54,'New Tooling Jobs'!AG$13:AG$62,0)),INDEX(Reorders!G$13:G$62,MATCH(54-COUNTIFS('New Tooling Jobs'!A$13:A$62,"&lt;&gt;",'New Tooling Jobs'!E$13:E$62,"&lt;&gt;Completed"),Reorders!AC$13:AC$62,0))),"")</f>
        <v/>
      </c>
      <c r="F63" s="40">
        <f>IFERROR(IF(54&lt;=COUNTIFS('New Tooling Jobs'!A$13:A$62,"&lt;&gt;",'New Tooling Jobs'!E$13:E$62,"&lt;&gt;Completed"),INDEX('New Tooling Jobs'!H$13:H$62,MATCH(54,'New Tooling Jobs'!AG$13:AG$62,0)),INDEX(Reorders!H$13:H$62,MATCH(54-COUNTIFS('New Tooling Jobs'!A$13:A$62,"&lt;&gt;",'New Tooling Jobs'!E$13:E$62,"&lt;&gt;Completed"),Reorders!AC$13:AC$62,0))),"")</f>
        <v/>
      </c>
      <c r="G63" s="41">
        <f>IFERROR(IF(54&lt;=COUNTIFS('New Tooling Jobs'!A$13:A$62,"&lt;&gt;",'New Tooling Jobs'!E$13:E$62,"&lt;&gt;Completed"),INDEX('New Tooling Jobs'!I$13:I$62,MATCH(54,'New Tooling Jobs'!AG$13:AG$62,0)),INDEX(Reorders!I$13:I$62,MATCH(54-COUNTIFS('New Tooling Jobs'!A$13:A$62,"&lt;&gt;",'New Tooling Jobs'!E$13:E$62,"&lt;&gt;Completed"),Reorders!AC$13:AC$62,0))),"")</f>
        <v/>
      </c>
    </row>
    <row r="64" ht="15" customHeight="1" s="25">
      <c r="A64" s="40">
        <f>IFERROR(IF(55&lt;=COUNTIFS('New Tooling Jobs'!A$13:A$62,"&lt;&gt;",'New Tooling Jobs'!E$13:E$62,"&lt;&gt;Completed"),INDEX('New Tooling Jobs'!A$13:A$62,MATCH(55,'New Tooling Jobs'!AG$13:AG$62,0)),INDEX(Reorders!A$13:A$62,MATCH(55-COUNTIFS('New Tooling Jobs'!A$13:A$62,"&lt;&gt;",'New Tooling Jobs'!E$13:E$62,"&lt;&gt;Completed"),Reorders!AC$13:AC$62,0))),"")</f>
        <v/>
      </c>
      <c r="B64" s="40">
        <f>IFERROR(IF(55&lt;=COUNTIFS('New Tooling Jobs'!A$13:A$62,"&lt;&gt;",'New Tooling Jobs'!E$13:E$62,"&lt;&gt;Completed"),IF(INDEX('New Tooling Jobs'!A$13:A$62,MATCH(55,'New Tooling Jobs'!AG$13:AG$62,0))&lt;&gt;"","New Tooling",""),IF(INDEX(Reorders!A$13:A$62,MATCH(55-COUNTIFS('New Tooling Jobs'!A$13:A$62,"&lt;&gt;",'New Tooling Jobs'!E$13:E$62,"&lt;&gt;Completed"),Reorders!AC$13:AC$62,0))&lt;&gt;"","Reorder","")),"")</f>
        <v/>
      </c>
      <c r="C64" s="41">
        <f>IFERROR(IF(55&lt;=COUNTIFS('New Tooling Jobs'!A$13:A$62,"&lt;&gt;",'New Tooling Jobs'!E$13:E$62,"&lt;&gt;Completed"),INDEX('New Tooling Jobs'!B$13:B$62,MATCH(55,'New Tooling Jobs'!AG$13:AG$62,0)),INDEX(Reorders!B$13:B$62,MATCH(55-COUNTIFS('New Tooling Jobs'!A$13:A$62,"&lt;&gt;",'New Tooling Jobs'!E$13:E$62,"&lt;&gt;Completed"),Reorders!AC$13:AC$62,0))),"")</f>
        <v/>
      </c>
      <c r="D64" s="41">
        <f>IFERROR(IF(55&lt;=COUNTIFS('New Tooling Jobs'!A$13:A$62,"&lt;&gt;",'New Tooling Jobs'!E$13:E$62,"&lt;&gt;Completed"),INDEX('New Tooling Jobs'!E$13:E$62,MATCH(55,'New Tooling Jobs'!AG$13:AG$62,0)),INDEX(Reorders!E$13:E$62,MATCH(55-COUNTIFS('New Tooling Jobs'!A$13:A$62,"&lt;&gt;",'New Tooling Jobs'!E$13:E$62,"&lt;&gt;Completed"),Reorders!AC$13:AC$62,0))),"")</f>
        <v/>
      </c>
      <c r="E64" s="40">
        <f>IFERROR(IF(55&lt;=COUNTIFS('New Tooling Jobs'!A$13:A$62,"&lt;&gt;",'New Tooling Jobs'!E$13:E$62,"&lt;&gt;Completed"),INDEX('New Tooling Jobs'!G$13:G$62,MATCH(55,'New Tooling Jobs'!AG$13:AG$62,0)),INDEX(Reorders!G$13:G$62,MATCH(55-COUNTIFS('New Tooling Jobs'!A$13:A$62,"&lt;&gt;",'New Tooling Jobs'!E$13:E$62,"&lt;&gt;Completed"),Reorders!AC$13:AC$62,0))),"")</f>
        <v/>
      </c>
      <c r="F64" s="40">
        <f>IFERROR(IF(55&lt;=COUNTIFS('New Tooling Jobs'!A$13:A$62,"&lt;&gt;",'New Tooling Jobs'!E$13:E$62,"&lt;&gt;Completed"),INDEX('New Tooling Jobs'!H$13:H$62,MATCH(55,'New Tooling Jobs'!AG$13:AG$62,0)),INDEX(Reorders!H$13:H$62,MATCH(55-COUNTIFS('New Tooling Jobs'!A$13:A$62,"&lt;&gt;",'New Tooling Jobs'!E$13:E$62,"&lt;&gt;Completed"),Reorders!AC$13:AC$62,0))),"")</f>
        <v/>
      </c>
      <c r="G64" s="41">
        <f>IFERROR(IF(55&lt;=COUNTIFS('New Tooling Jobs'!A$13:A$62,"&lt;&gt;",'New Tooling Jobs'!E$13:E$62,"&lt;&gt;Completed"),INDEX('New Tooling Jobs'!I$13:I$62,MATCH(55,'New Tooling Jobs'!AG$13:AG$62,0)),INDEX(Reorders!I$13:I$62,MATCH(55-COUNTIFS('New Tooling Jobs'!A$13:A$62,"&lt;&gt;",'New Tooling Jobs'!E$13:E$62,"&lt;&gt;Completed"),Reorders!AC$13:AC$62,0))),"")</f>
        <v/>
      </c>
    </row>
    <row r="65" ht="15" customHeight="1" s="25">
      <c r="A65" s="40">
        <f>IFERROR(IF(56&lt;=COUNTIFS('New Tooling Jobs'!A$13:A$62,"&lt;&gt;",'New Tooling Jobs'!E$13:E$62,"&lt;&gt;Completed"),INDEX('New Tooling Jobs'!A$13:A$62,MATCH(56,'New Tooling Jobs'!AG$13:AG$62,0)),INDEX(Reorders!A$13:A$62,MATCH(56-COUNTIFS('New Tooling Jobs'!A$13:A$62,"&lt;&gt;",'New Tooling Jobs'!E$13:E$62,"&lt;&gt;Completed"),Reorders!AC$13:AC$62,0))),"")</f>
        <v/>
      </c>
      <c r="B65" s="40">
        <f>IFERROR(IF(56&lt;=COUNTIFS('New Tooling Jobs'!A$13:A$62,"&lt;&gt;",'New Tooling Jobs'!E$13:E$62,"&lt;&gt;Completed"),IF(INDEX('New Tooling Jobs'!A$13:A$62,MATCH(56,'New Tooling Jobs'!AG$13:AG$62,0))&lt;&gt;"","New Tooling",""),IF(INDEX(Reorders!A$13:A$62,MATCH(56-COUNTIFS('New Tooling Jobs'!A$13:A$62,"&lt;&gt;",'New Tooling Jobs'!E$13:E$62,"&lt;&gt;Completed"),Reorders!AC$13:AC$62,0))&lt;&gt;"","Reorder","")),"")</f>
        <v/>
      </c>
      <c r="C65" s="41">
        <f>IFERROR(IF(56&lt;=COUNTIFS('New Tooling Jobs'!A$13:A$62,"&lt;&gt;",'New Tooling Jobs'!E$13:E$62,"&lt;&gt;Completed"),INDEX('New Tooling Jobs'!B$13:B$62,MATCH(56,'New Tooling Jobs'!AG$13:AG$62,0)),INDEX(Reorders!B$13:B$62,MATCH(56-COUNTIFS('New Tooling Jobs'!A$13:A$62,"&lt;&gt;",'New Tooling Jobs'!E$13:E$62,"&lt;&gt;Completed"),Reorders!AC$13:AC$62,0))),"")</f>
        <v/>
      </c>
      <c r="D65" s="41">
        <f>IFERROR(IF(56&lt;=COUNTIFS('New Tooling Jobs'!A$13:A$62,"&lt;&gt;",'New Tooling Jobs'!E$13:E$62,"&lt;&gt;Completed"),INDEX('New Tooling Jobs'!E$13:E$62,MATCH(56,'New Tooling Jobs'!AG$13:AG$62,0)),INDEX(Reorders!E$13:E$62,MATCH(56-COUNTIFS('New Tooling Jobs'!A$13:A$62,"&lt;&gt;",'New Tooling Jobs'!E$13:E$62,"&lt;&gt;Completed"),Reorders!AC$13:AC$62,0))),"")</f>
        <v/>
      </c>
      <c r="E65" s="40">
        <f>IFERROR(IF(56&lt;=COUNTIFS('New Tooling Jobs'!A$13:A$62,"&lt;&gt;",'New Tooling Jobs'!E$13:E$62,"&lt;&gt;Completed"),INDEX('New Tooling Jobs'!G$13:G$62,MATCH(56,'New Tooling Jobs'!AG$13:AG$62,0)),INDEX(Reorders!G$13:G$62,MATCH(56-COUNTIFS('New Tooling Jobs'!A$13:A$62,"&lt;&gt;",'New Tooling Jobs'!E$13:E$62,"&lt;&gt;Completed"),Reorders!AC$13:AC$62,0))),"")</f>
        <v/>
      </c>
      <c r="F65" s="40">
        <f>IFERROR(IF(56&lt;=COUNTIFS('New Tooling Jobs'!A$13:A$62,"&lt;&gt;",'New Tooling Jobs'!E$13:E$62,"&lt;&gt;Completed"),INDEX('New Tooling Jobs'!H$13:H$62,MATCH(56,'New Tooling Jobs'!AG$13:AG$62,0)),INDEX(Reorders!H$13:H$62,MATCH(56-COUNTIFS('New Tooling Jobs'!A$13:A$62,"&lt;&gt;",'New Tooling Jobs'!E$13:E$62,"&lt;&gt;Completed"),Reorders!AC$13:AC$62,0))),"")</f>
        <v/>
      </c>
      <c r="G65" s="41">
        <f>IFERROR(IF(56&lt;=COUNTIFS('New Tooling Jobs'!A$13:A$62,"&lt;&gt;",'New Tooling Jobs'!E$13:E$62,"&lt;&gt;Completed"),INDEX('New Tooling Jobs'!I$13:I$62,MATCH(56,'New Tooling Jobs'!AG$13:AG$62,0)),INDEX(Reorders!I$13:I$62,MATCH(56-COUNTIFS('New Tooling Jobs'!A$13:A$62,"&lt;&gt;",'New Tooling Jobs'!E$13:E$62,"&lt;&gt;Completed"),Reorders!AC$13:AC$62,0))),"")</f>
        <v/>
      </c>
    </row>
    <row r="66" ht="15" customHeight="1" s="25">
      <c r="A66" s="40">
        <f>IFERROR(IF(57&lt;=COUNTIFS('New Tooling Jobs'!A$13:A$62,"&lt;&gt;",'New Tooling Jobs'!E$13:E$62,"&lt;&gt;Completed"),INDEX('New Tooling Jobs'!A$13:A$62,MATCH(57,'New Tooling Jobs'!AG$13:AG$62,0)),INDEX(Reorders!A$13:A$62,MATCH(57-COUNTIFS('New Tooling Jobs'!A$13:A$62,"&lt;&gt;",'New Tooling Jobs'!E$13:E$62,"&lt;&gt;Completed"),Reorders!AC$13:AC$62,0))),"")</f>
        <v/>
      </c>
      <c r="B66" s="40">
        <f>IFERROR(IF(57&lt;=COUNTIFS('New Tooling Jobs'!A$13:A$62,"&lt;&gt;",'New Tooling Jobs'!E$13:E$62,"&lt;&gt;Completed"),IF(INDEX('New Tooling Jobs'!A$13:A$62,MATCH(57,'New Tooling Jobs'!AG$13:AG$62,0))&lt;&gt;"","New Tooling",""),IF(INDEX(Reorders!A$13:A$62,MATCH(57-COUNTIFS('New Tooling Jobs'!A$13:A$62,"&lt;&gt;",'New Tooling Jobs'!E$13:E$62,"&lt;&gt;Completed"),Reorders!AC$13:AC$62,0))&lt;&gt;"","Reorder","")),"")</f>
        <v/>
      </c>
      <c r="C66" s="41">
        <f>IFERROR(IF(57&lt;=COUNTIFS('New Tooling Jobs'!A$13:A$62,"&lt;&gt;",'New Tooling Jobs'!E$13:E$62,"&lt;&gt;Completed"),INDEX('New Tooling Jobs'!B$13:B$62,MATCH(57,'New Tooling Jobs'!AG$13:AG$62,0)),INDEX(Reorders!B$13:B$62,MATCH(57-COUNTIFS('New Tooling Jobs'!A$13:A$62,"&lt;&gt;",'New Tooling Jobs'!E$13:E$62,"&lt;&gt;Completed"),Reorders!AC$13:AC$62,0))),"")</f>
        <v/>
      </c>
      <c r="D66" s="41">
        <f>IFERROR(IF(57&lt;=COUNTIFS('New Tooling Jobs'!A$13:A$62,"&lt;&gt;",'New Tooling Jobs'!E$13:E$62,"&lt;&gt;Completed"),INDEX('New Tooling Jobs'!E$13:E$62,MATCH(57,'New Tooling Jobs'!AG$13:AG$62,0)),INDEX(Reorders!E$13:E$62,MATCH(57-COUNTIFS('New Tooling Jobs'!A$13:A$62,"&lt;&gt;",'New Tooling Jobs'!E$13:E$62,"&lt;&gt;Completed"),Reorders!AC$13:AC$62,0))),"")</f>
        <v/>
      </c>
      <c r="E66" s="40">
        <f>IFERROR(IF(57&lt;=COUNTIFS('New Tooling Jobs'!A$13:A$62,"&lt;&gt;",'New Tooling Jobs'!E$13:E$62,"&lt;&gt;Completed"),INDEX('New Tooling Jobs'!G$13:G$62,MATCH(57,'New Tooling Jobs'!AG$13:AG$62,0)),INDEX(Reorders!G$13:G$62,MATCH(57-COUNTIFS('New Tooling Jobs'!A$13:A$62,"&lt;&gt;",'New Tooling Jobs'!E$13:E$62,"&lt;&gt;Completed"),Reorders!AC$13:AC$62,0))),"")</f>
        <v/>
      </c>
      <c r="F66" s="40">
        <f>IFERROR(IF(57&lt;=COUNTIFS('New Tooling Jobs'!A$13:A$62,"&lt;&gt;",'New Tooling Jobs'!E$13:E$62,"&lt;&gt;Completed"),INDEX('New Tooling Jobs'!H$13:H$62,MATCH(57,'New Tooling Jobs'!AG$13:AG$62,0)),INDEX(Reorders!H$13:H$62,MATCH(57-COUNTIFS('New Tooling Jobs'!A$13:A$62,"&lt;&gt;",'New Tooling Jobs'!E$13:E$62,"&lt;&gt;Completed"),Reorders!AC$13:AC$62,0))),"")</f>
        <v/>
      </c>
      <c r="G66" s="41">
        <f>IFERROR(IF(57&lt;=COUNTIFS('New Tooling Jobs'!A$13:A$62,"&lt;&gt;",'New Tooling Jobs'!E$13:E$62,"&lt;&gt;Completed"),INDEX('New Tooling Jobs'!I$13:I$62,MATCH(57,'New Tooling Jobs'!AG$13:AG$62,0)),INDEX(Reorders!I$13:I$62,MATCH(57-COUNTIFS('New Tooling Jobs'!A$13:A$62,"&lt;&gt;",'New Tooling Jobs'!E$13:E$62,"&lt;&gt;Completed"),Reorders!AC$13:AC$62,0))),"")</f>
        <v/>
      </c>
    </row>
    <row r="67" ht="15" customHeight="1" s="25">
      <c r="A67" s="40">
        <f>IFERROR(IF(58&lt;=COUNTIFS('New Tooling Jobs'!A$13:A$62,"&lt;&gt;",'New Tooling Jobs'!E$13:E$62,"&lt;&gt;Completed"),INDEX('New Tooling Jobs'!A$13:A$62,MATCH(58,'New Tooling Jobs'!AG$13:AG$62,0)),INDEX(Reorders!A$13:A$62,MATCH(58-COUNTIFS('New Tooling Jobs'!A$13:A$62,"&lt;&gt;",'New Tooling Jobs'!E$13:E$62,"&lt;&gt;Completed"),Reorders!AC$13:AC$62,0))),"")</f>
        <v/>
      </c>
      <c r="B67" s="40">
        <f>IFERROR(IF(58&lt;=COUNTIFS('New Tooling Jobs'!A$13:A$62,"&lt;&gt;",'New Tooling Jobs'!E$13:E$62,"&lt;&gt;Completed"),IF(INDEX('New Tooling Jobs'!A$13:A$62,MATCH(58,'New Tooling Jobs'!AG$13:AG$62,0))&lt;&gt;"","New Tooling",""),IF(INDEX(Reorders!A$13:A$62,MATCH(58-COUNTIFS('New Tooling Jobs'!A$13:A$62,"&lt;&gt;",'New Tooling Jobs'!E$13:E$62,"&lt;&gt;Completed"),Reorders!AC$13:AC$62,0))&lt;&gt;"","Reorder","")),"")</f>
        <v/>
      </c>
      <c r="C67" s="41">
        <f>IFERROR(IF(58&lt;=COUNTIFS('New Tooling Jobs'!A$13:A$62,"&lt;&gt;",'New Tooling Jobs'!E$13:E$62,"&lt;&gt;Completed"),INDEX('New Tooling Jobs'!B$13:B$62,MATCH(58,'New Tooling Jobs'!AG$13:AG$62,0)),INDEX(Reorders!B$13:B$62,MATCH(58-COUNTIFS('New Tooling Jobs'!A$13:A$62,"&lt;&gt;",'New Tooling Jobs'!E$13:E$62,"&lt;&gt;Completed"),Reorders!AC$13:AC$62,0))),"")</f>
        <v/>
      </c>
      <c r="D67" s="41">
        <f>IFERROR(IF(58&lt;=COUNTIFS('New Tooling Jobs'!A$13:A$62,"&lt;&gt;",'New Tooling Jobs'!E$13:E$62,"&lt;&gt;Completed"),INDEX('New Tooling Jobs'!E$13:E$62,MATCH(58,'New Tooling Jobs'!AG$13:AG$62,0)),INDEX(Reorders!E$13:E$62,MATCH(58-COUNTIFS('New Tooling Jobs'!A$13:A$62,"&lt;&gt;",'New Tooling Jobs'!E$13:E$62,"&lt;&gt;Completed"),Reorders!AC$13:AC$62,0))),"")</f>
        <v/>
      </c>
      <c r="E67" s="40">
        <f>IFERROR(IF(58&lt;=COUNTIFS('New Tooling Jobs'!A$13:A$62,"&lt;&gt;",'New Tooling Jobs'!E$13:E$62,"&lt;&gt;Completed"),INDEX('New Tooling Jobs'!G$13:G$62,MATCH(58,'New Tooling Jobs'!AG$13:AG$62,0)),INDEX(Reorders!G$13:G$62,MATCH(58-COUNTIFS('New Tooling Jobs'!A$13:A$62,"&lt;&gt;",'New Tooling Jobs'!E$13:E$62,"&lt;&gt;Completed"),Reorders!AC$13:AC$62,0))),"")</f>
        <v/>
      </c>
      <c r="F67" s="40">
        <f>IFERROR(IF(58&lt;=COUNTIFS('New Tooling Jobs'!A$13:A$62,"&lt;&gt;",'New Tooling Jobs'!E$13:E$62,"&lt;&gt;Completed"),INDEX('New Tooling Jobs'!H$13:H$62,MATCH(58,'New Tooling Jobs'!AG$13:AG$62,0)),INDEX(Reorders!H$13:H$62,MATCH(58-COUNTIFS('New Tooling Jobs'!A$13:A$62,"&lt;&gt;",'New Tooling Jobs'!E$13:E$62,"&lt;&gt;Completed"),Reorders!AC$13:AC$62,0))),"")</f>
        <v/>
      </c>
      <c r="G67" s="41">
        <f>IFERROR(IF(58&lt;=COUNTIFS('New Tooling Jobs'!A$13:A$62,"&lt;&gt;",'New Tooling Jobs'!E$13:E$62,"&lt;&gt;Completed"),INDEX('New Tooling Jobs'!I$13:I$62,MATCH(58,'New Tooling Jobs'!AG$13:AG$62,0)),INDEX(Reorders!I$13:I$62,MATCH(58-COUNTIFS('New Tooling Jobs'!A$13:A$62,"&lt;&gt;",'New Tooling Jobs'!E$13:E$62,"&lt;&gt;Completed"),Reorders!AC$13:AC$62,0))),"")</f>
        <v/>
      </c>
    </row>
    <row r="68" ht="15" customHeight="1" s="25">
      <c r="A68" s="40">
        <f>IFERROR(IF(59&lt;=COUNTIFS('New Tooling Jobs'!A$13:A$62,"&lt;&gt;",'New Tooling Jobs'!E$13:E$62,"&lt;&gt;Completed"),INDEX('New Tooling Jobs'!A$13:A$62,MATCH(59,'New Tooling Jobs'!AG$13:AG$62,0)),INDEX(Reorders!A$13:A$62,MATCH(59-COUNTIFS('New Tooling Jobs'!A$13:A$62,"&lt;&gt;",'New Tooling Jobs'!E$13:E$62,"&lt;&gt;Completed"),Reorders!AC$13:AC$62,0))),"")</f>
        <v/>
      </c>
      <c r="B68" s="40">
        <f>IFERROR(IF(59&lt;=COUNTIFS('New Tooling Jobs'!A$13:A$62,"&lt;&gt;",'New Tooling Jobs'!E$13:E$62,"&lt;&gt;Completed"),IF(INDEX('New Tooling Jobs'!A$13:A$62,MATCH(59,'New Tooling Jobs'!AG$13:AG$62,0))&lt;&gt;"","New Tooling",""),IF(INDEX(Reorders!A$13:A$62,MATCH(59-COUNTIFS('New Tooling Jobs'!A$13:A$62,"&lt;&gt;",'New Tooling Jobs'!E$13:E$62,"&lt;&gt;Completed"),Reorders!AC$13:AC$62,0))&lt;&gt;"","Reorder","")),"")</f>
        <v/>
      </c>
      <c r="C68" s="41">
        <f>IFERROR(IF(59&lt;=COUNTIFS('New Tooling Jobs'!A$13:A$62,"&lt;&gt;",'New Tooling Jobs'!E$13:E$62,"&lt;&gt;Completed"),INDEX('New Tooling Jobs'!B$13:B$62,MATCH(59,'New Tooling Jobs'!AG$13:AG$62,0)),INDEX(Reorders!B$13:B$62,MATCH(59-COUNTIFS('New Tooling Jobs'!A$13:A$62,"&lt;&gt;",'New Tooling Jobs'!E$13:E$62,"&lt;&gt;Completed"),Reorders!AC$13:AC$62,0))),"")</f>
        <v/>
      </c>
      <c r="D68" s="41">
        <f>IFERROR(IF(59&lt;=COUNTIFS('New Tooling Jobs'!A$13:A$62,"&lt;&gt;",'New Tooling Jobs'!E$13:E$62,"&lt;&gt;Completed"),INDEX('New Tooling Jobs'!E$13:E$62,MATCH(59,'New Tooling Jobs'!AG$13:AG$62,0)),INDEX(Reorders!E$13:E$62,MATCH(59-COUNTIFS('New Tooling Jobs'!A$13:A$62,"&lt;&gt;",'New Tooling Jobs'!E$13:E$62,"&lt;&gt;Completed"),Reorders!AC$13:AC$62,0))),"")</f>
        <v/>
      </c>
      <c r="E68" s="40">
        <f>IFERROR(IF(59&lt;=COUNTIFS('New Tooling Jobs'!A$13:A$62,"&lt;&gt;",'New Tooling Jobs'!E$13:E$62,"&lt;&gt;Completed"),INDEX('New Tooling Jobs'!G$13:G$62,MATCH(59,'New Tooling Jobs'!AG$13:AG$62,0)),INDEX(Reorders!G$13:G$62,MATCH(59-COUNTIFS('New Tooling Jobs'!A$13:A$62,"&lt;&gt;",'New Tooling Jobs'!E$13:E$62,"&lt;&gt;Completed"),Reorders!AC$13:AC$62,0))),"")</f>
        <v/>
      </c>
      <c r="F68" s="40">
        <f>IFERROR(IF(59&lt;=COUNTIFS('New Tooling Jobs'!A$13:A$62,"&lt;&gt;",'New Tooling Jobs'!E$13:E$62,"&lt;&gt;Completed"),INDEX('New Tooling Jobs'!H$13:H$62,MATCH(59,'New Tooling Jobs'!AG$13:AG$62,0)),INDEX(Reorders!H$13:H$62,MATCH(59-COUNTIFS('New Tooling Jobs'!A$13:A$62,"&lt;&gt;",'New Tooling Jobs'!E$13:E$62,"&lt;&gt;Completed"),Reorders!AC$13:AC$62,0))),"")</f>
        <v/>
      </c>
      <c r="G68" s="41">
        <f>IFERROR(IF(59&lt;=COUNTIFS('New Tooling Jobs'!A$13:A$62,"&lt;&gt;",'New Tooling Jobs'!E$13:E$62,"&lt;&gt;Completed"),INDEX('New Tooling Jobs'!I$13:I$62,MATCH(59,'New Tooling Jobs'!AG$13:AG$62,0)),INDEX(Reorders!I$13:I$62,MATCH(59-COUNTIFS('New Tooling Jobs'!A$13:A$62,"&lt;&gt;",'New Tooling Jobs'!E$13:E$62,"&lt;&gt;Completed"),Reorders!AC$13:AC$62,0))),"")</f>
        <v/>
      </c>
    </row>
    <row r="69" ht="15" customHeight="1" s="25">
      <c r="A69" s="40">
        <f>IFERROR(IF(60&lt;=COUNTIFS('New Tooling Jobs'!A$13:A$62,"&lt;&gt;",'New Tooling Jobs'!E$13:E$62,"&lt;&gt;Completed"),INDEX('New Tooling Jobs'!A$13:A$62,MATCH(60,'New Tooling Jobs'!AG$13:AG$62,0)),INDEX(Reorders!A$13:A$62,MATCH(60-COUNTIFS('New Tooling Jobs'!A$13:A$62,"&lt;&gt;",'New Tooling Jobs'!E$13:E$62,"&lt;&gt;Completed"),Reorders!AC$13:AC$62,0))),"")</f>
        <v/>
      </c>
      <c r="B69" s="40">
        <f>IFERROR(IF(60&lt;=COUNTIFS('New Tooling Jobs'!A$13:A$62,"&lt;&gt;",'New Tooling Jobs'!E$13:E$62,"&lt;&gt;Completed"),IF(INDEX('New Tooling Jobs'!A$13:A$62,MATCH(60,'New Tooling Jobs'!AG$13:AG$62,0))&lt;&gt;"","New Tooling",""),IF(INDEX(Reorders!A$13:A$62,MATCH(60-COUNTIFS('New Tooling Jobs'!A$13:A$62,"&lt;&gt;",'New Tooling Jobs'!E$13:E$62,"&lt;&gt;Completed"),Reorders!AC$13:AC$62,0))&lt;&gt;"","Reorder","")),"")</f>
        <v/>
      </c>
      <c r="C69" s="41">
        <f>IFERROR(IF(60&lt;=COUNTIFS('New Tooling Jobs'!A$13:A$62,"&lt;&gt;",'New Tooling Jobs'!E$13:E$62,"&lt;&gt;Completed"),INDEX('New Tooling Jobs'!B$13:B$62,MATCH(60,'New Tooling Jobs'!AG$13:AG$62,0)),INDEX(Reorders!B$13:B$62,MATCH(60-COUNTIFS('New Tooling Jobs'!A$13:A$62,"&lt;&gt;",'New Tooling Jobs'!E$13:E$62,"&lt;&gt;Completed"),Reorders!AC$13:AC$62,0))),"")</f>
        <v/>
      </c>
      <c r="D69" s="41">
        <f>IFERROR(IF(60&lt;=COUNTIFS('New Tooling Jobs'!A$13:A$62,"&lt;&gt;",'New Tooling Jobs'!E$13:E$62,"&lt;&gt;Completed"),INDEX('New Tooling Jobs'!E$13:E$62,MATCH(60,'New Tooling Jobs'!AG$13:AG$62,0)),INDEX(Reorders!E$13:E$62,MATCH(60-COUNTIFS('New Tooling Jobs'!A$13:A$62,"&lt;&gt;",'New Tooling Jobs'!E$13:E$62,"&lt;&gt;Completed"),Reorders!AC$13:AC$62,0))),"")</f>
        <v/>
      </c>
      <c r="E69" s="40">
        <f>IFERROR(IF(60&lt;=COUNTIFS('New Tooling Jobs'!A$13:A$62,"&lt;&gt;",'New Tooling Jobs'!E$13:E$62,"&lt;&gt;Completed"),INDEX('New Tooling Jobs'!G$13:G$62,MATCH(60,'New Tooling Jobs'!AG$13:AG$62,0)),INDEX(Reorders!G$13:G$62,MATCH(60-COUNTIFS('New Tooling Jobs'!A$13:A$62,"&lt;&gt;",'New Tooling Jobs'!E$13:E$62,"&lt;&gt;Completed"),Reorders!AC$13:AC$62,0))),"")</f>
        <v/>
      </c>
      <c r="F69" s="40">
        <f>IFERROR(IF(60&lt;=COUNTIFS('New Tooling Jobs'!A$13:A$62,"&lt;&gt;",'New Tooling Jobs'!E$13:E$62,"&lt;&gt;Completed"),INDEX('New Tooling Jobs'!H$13:H$62,MATCH(60,'New Tooling Jobs'!AG$13:AG$62,0)),INDEX(Reorders!H$13:H$62,MATCH(60-COUNTIFS('New Tooling Jobs'!A$13:A$62,"&lt;&gt;",'New Tooling Jobs'!E$13:E$62,"&lt;&gt;Completed"),Reorders!AC$13:AC$62,0))),"")</f>
        <v/>
      </c>
      <c r="G69" s="41">
        <f>IFERROR(IF(60&lt;=COUNTIFS('New Tooling Jobs'!A$13:A$62,"&lt;&gt;",'New Tooling Jobs'!E$13:E$62,"&lt;&gt;Completed"),INDEX('New Tooling Jobs'!I$13:I$62,MATCH(60,'New Tooling Jobs'!AG$13:AG$62,0)),INDEX(Reorders!I$13:I$62,MATCH(60-COUNTIFS('New Tooling Jobs'!A$13:A$62,"&lt;&gt;",'New Tooling Jobs'!E$13:E$62,"&lt;&gt;Completed"),Reorders!AC$13:AC$62,0))),"")</f>
        <v/>
      </c>
    </row>
    <row r="70" ht="15" customHeight="1" s="25">
      <c r="A70" s="40">
        <f>IFERROR(IF(61&lt;=COUNTIFS('New Tooling Jobs'!A$13:A$62,"&lt;&gt;",'New Tooling Jobs'!E$13:E$62,"&lt;&gt;Completed"),INDEX('New Tooling Jobs'!A$13:A$62,MATCH(61,'New Tooling Jobs'!AG$13:AG$62,0)),INDEX(Reorders!A$13:A$62,MATCH(61-COUNTIFS('New Tooling Jobs'!A$13:A$62,"&lt;&gt;",'New Tooling Jobs'!E$13:E$62,"&lt;&gt;Completed"),Reorders!AC$13:AC$62,0))),"")</f>
        <v/>
      </c>
      <c r="B70" s="40">
        <f>IFERROR(IF(61&lt;=COUNTIFS('New Tooling Jobs'!A$13:A$62,"&lt;&gt;",'New Tooling Jobs'!E$13:E$62,"&lt;&gt;Completed"),IF(INDEX('New Tooling Jobs'!A$13:A$62,MATCH(61,'New Tooling Jobs'!AG$13:AG$62,0))&lt;&gt;"","New Tooling",""),IF(INDEX(Reorders!A$13:A$62,MATCH(61-COUNTIFS('New Tooling Jobs'!A$13:A$62,"&lt;&gt;",'New Tooling Jobs'!E$13:E$62,"&lt;&gt;Completed"),Reorders!AC$13:AC$62,0))&lt;&gt;"","Reorder","")),"")</f>
        <v/>
      </c>
      <c r="C70" s="41">
        <f>IFERROR(IF(61&lt;=COUNTIFS('New Tooling Jobs'!A$13:A$62,"&lt;&gt;",'New Tooling Jobs'!E$13:E$62,"&lt;&gt;Completed"),INDEX('New Tooling Jobs'!B$13:B$62,MATCH(61,'New Tooling Jobs'!AG$13:AG$62,0)),INDEX(Reorders!B$13:B$62,MATCH(61-COUNTIFS('New Tooling Jobs'!A$13:A$62,"&lt;&gt;",'New Tooling Jobs'!E$13:E$62,"&lt;&gt;Completed"),Reorders!AC$13:AC$62,0))),"")</f>
        <v/>
      </c>
      <c r="D70" s="41">
        <f>IFERROR(IF(61&lt;=COUNTIFS('New Tooling Jobs'!A$13:A$62,"&lt;&gt;",'New Tooling Jobs'!E$13:E$62,"&lt;&gt;Completed"),INDEX('New Tooling Jobs'!E$13:E$62,MATCH(61,'New Tooling Jobs'!AG$13:AG$62,0)),INDEX(Reorders!E$13:E$62,MATCH(61-COUNTIFS('New Tooling Jobs'!A$13:A$62,"&lt;&gt;",'New Tooling Jobs'!E$13:E$62,"&lt;&gt;Completed"),Reorders!AC$13:AC$62,0))),"")</f>
        <v/>
      </c>
      <c r="E70" s="40">
        <f>IFERROR(IF(61&lt;=COUNTIFS('New Tooling Jobs'!A$13:A$62,"&lt;&gt;",'New Tooling Jobs'!E$13:E$62,"&lt;&gt;Completed"),INDEX('New Tooling Jobs'!G$13:G$62,MATCH(61,'New Tooling Jobs'!AG$13:AG$62,0)),INDEX(Reorders!G$13:G$62,MATCH(61-COUNTIFS('New Tooling Jobs'!A$13:A$62,"&lt;&gt;",'New Tooling Jobs'!E$13:E$62,"&lt;&gt;Completed"),Reorders!AC$13:AC$62,0))),"")</f>
        <v/>
      </c>
      <c r="F70" s="40">
        <f>IFERROR(IF(61&lt;=COUNTIFS('New Tooling Jobs'!A$13:A$62,"&lt;&gt;",'New Tooling Jobs'!E$13:E$62,"&lt;&gt;Completed"),INDEX('New Tooling Jobs'!H$13:H$62,MATCH(61,'New Tooling Jobs'!AG$13:AG$62,0)),INDEX(Reorders!H$13:H$62,MATCH(61-COUNTIFS('New Tooling Jobs'!A$13:A$62,"&lt;&gt;",'New Tooling Jobs'!E$13:E$62,"&lt;&gt;Completed"),Reorders!AC$13:AC$62,0))),"")</f>
        <v/>
      </c>
      <c r="G70" s="41">
        <f>IFERROR(IF(61&lt;=COUNTIFS('New Tooling Jobs'!A$13:A$62,"&lt;&gt;",'New Tooling Jobs'!E$13:E$62,"&lt;&gt;Completed"),INDEX('New Tooling Jobs'!I$13:I$62,MATCH(61,'New Tooling Jobs'!AG$13:AG$62,0)),INDEX(Reorders!I$13:I$62,MATCH(61-COUNTIFS('New Tooling Jobs'!A$13:A$62,"&lt;&gt;",'New Tooling Jobs'!E$13:E$62,"&lt;&gt;Completed"),Reorders!AC$13:AC$62,0))),"")</f>
        <v/>
      </c>
    </row>
    <row r="71" ht="15" customHeight="1" s="25">
      <c r="A71" s="40">
        <f>IFERROR(IF(62&lt;=COUNTIFS('New Tooling Jobs'!A$13:A$62,"&lt;&gt;",'New Tooling Jobs'!E$13:E$62,"&lt;&gt;Completed"),INDEX('New Tooling Jobs'!A$13:A$62,MATCH(62,'New Tooling Jobs'!AG$13:AG$62,0)),INDEX(Reorders!A$13:A$62,MATCH(62-COUNTIFS('New Tooling Jobs'!A$13:A$62,"&lt;&gt;",'New Tooling Jobs'!E$13:E$62,"&lt;&gt;Completed"),Reorders!AC$13:AC$62,0))),"")</f>
        <v/>
      </c>
      <c r="B71" s="40">
        <f>IFERROR(IF(62&lt;=COUNTIFS('New Tooling Jobs'!A$13:A$62,"&lt;&gt;",'New Tooling Jobs'!E$13:E$62,"&lt;&gt;Completed"),IF(INDEX('New Tooling Jobs'!A$13:A$62,MATCH(62,'New Tooling Jobs'!AG$13:AG$62,0))&lt;&gt;"","New Tooling",""),IF(INDEX(Reorders!A$13:A$62,MATCH(62-COUNTIFS('New Tooling Jobs'!A$13:A$62,"&lt;&gt;",'New Tooling Jobs'!E$13:E$62,"&lt;&gt;Completed"),Reorders!AC$13:AC$62,0))&lt;&gt;"","Reorder","")),"")</f>
        <v/>
      </c>
      <c r="C71" s="41">
        <f>IFERROR(IF(62&lt;=COUNTIFS('New Tooling Jobs'!A$13:A$62,"&lt;&gt;",'New Tooling Jobs'!E$13:E$62,"&lt;&gt;Completed"),INDEX('New Tooling Jobs'!B$13:B$62,MATCH(62,'New Tooling Jobs'!AG$13:AG$62,0)),INDEX(Reorders!B$13:B$62,MATCH(62-COUNTIFS('New Tooling Jobs'!A$13:A$62,"&lt;&gt;",'New Tooling Jobs'!E$13:E$62,"&lt;&gt;Completed"),Reorders!AC$13:AC$62,0))),"")</f>
        <v/>
      </c>
      <c r="D71" s="41">
        <f>IFERROR(IF(62&lt;=COUNTIFS('New Tooling Jobs'!A$13:A$62,"&lt;&gt;",'New Tooling Jobs'!E$13:E$62,"&lt;&gt;Completed"),INDEX('New Tooling Jobs'!E$13:E$62,MATCH(62,'New Tooling Jobs'!AG$13:AG$62,0)),INDEX(Reorders!E$13:E$62,MATCH(62-COUNTIFS('New Tooling Jobs'!A$13:A$62,"&lt;&gt;",'New Tooling Jobs'!E$13:E$62,"&lt;&gt;Completed"),Reorders!AC$13:AC$62,0))),"")</f>
        <v/>
      </c>
      <c r="E71" s="40">
        <f>IFERROR(IF(62&lt;=COUNTIFS('New Tooling Jobs'!A$13:A$62,"&lt;&gt;",'New Tooling Jobs'!E$13:E$62,"&lt;&gt;Completed"),INDEX('New Tooling Jobs'!G$13:G$62,MATCH(62,'New Tooling Jobs'!AG$13:AG$62,0)),INDEX(Reorders!G$13:G$62,MATCH(62-COUNTIFS('New Tooling Jobs'!A$13:A$62,"&lt;&gt;",'New Tooling Jobs'!E$13:E$62,"&lt;&gt;Completed"),Reorders!AC$13:AC$62,0))),"")</f>
        <v/>
      </c>
      <c r="F71" s="40">
        <f>IFERROR(IF(62&lt;=COUNTIFS('New Tooling Jobs'!A$13:A$62,"&lt;&gt;",'New Tooling Jobs'!E$13:E$62,"&lt;&gt;Completed"),INDEX('New Tooling Jobs'!H$13:H$62,MATCH(62,'New Tooling Jobs'!AG$13:AG$62,0)),INDEX(Reorders!H$13:H$62,MATCH(62-COUNTIFS('New Tooling Jobs'!A$13:A$62,"&lt;&gt;",'New Tooling Jobs'!E$13:E$62,"&lt;&gt;Completed"),Reorders!AC$13:AC$62,0))),"")</f>
        <v/>
      </c>
      <c r="G71" s="41">
        <f>IFERROR(IF(62&lt;=COUNTIFS('New Tooling Jobs'!A$13:A$62,"&lt;&gt;",'New Tooling Jobs'!E$13:E$62,"&lt;&gt;Completed"),INDEX('New Tooling Jobs'!I$13:I$62,MATCH(62,'New Tooling Jobs'!AG$13:AG$62,0)),INDEX(Reorders!I$13:I$62,MATCH(62-COUNTIFS('New Tooling Jobs'!A$13:A$62,"&lt;&gt;",'New Tooling Jobs'!E$13:E$62,"&lt;&gt;Completed"),Reorders!AC$13:AC$62,0))),"")</f>
        <v/>
      </c>
    </row>
    <row r="72" ht="15" customHeight="1" s="25">
      <c r="A72" s="40">
        <f>IFERROR(IF(63&lt;=COUNTIFS('New Tooling Jobs'!A$13:A$62,"&lt;&gt;",'New Tooling Jobs'!E$13:E$62,"&lt;&gt;Completed"),INDEX('New Tooling Jobs'!A$13:A$62,MATCH(63,'New Tooling Jobs'!AG$13:AG$62,0)),INDEX(Reorders!A$13:A$62,MATCH(63-COUNTIFS('New Tooling Jobs'!A$13:A$62,"&lt;&gt;",'New Tooling Jobs'!E$13:E$62,"&lt;&gt;Completed"),Reorders!AC$13:AC$62,0))),"")</f>
        <v/>
      </c>
      <c r="B72" s="40">
        <f>IFERROR(IF(63&lt;=COUNTIFS('New Tooling Jobs'!A$13:A$62,"&lt;&gt;",'New Tooling Jobs'!E$13:E$62,"&lt;&gt;Completed"),IF(INDEX('New Tooling Jobs'!A$13:A$62,MATCH(63,'New Tooling Jobs'!AG$13:AG$62,0))&lt;&gt;"","New Tooling",""),IF(INDEX(Reorders!A$13:A$62,MATCH(63-COUNTIFS('New Tooling Jobs'!A$13:A$62,"&lt;&gt;",'New Tooling Jobs'!E$13:E$62,"&lt;&gt;Completed"),Reorders!AC$13:AC$62,0))&lt;&gt;"","Reorder","")),"")</f>
        <v/>
      </c>
      <c r="C72" s="41">
        <f>IFERROR(IF(63&lt;=COUNTIFS('New Tooling Jobs'!A$13:A$62,"&lt;&gt;",'New Tooling Jobs'!E$13:E$62,"&lt;&gt;Completed"),INDEX('New Tooling Jobs'!B$13:B$62,MATCH(63,'New Tooling Jobs'!AG$13:AG$62,0)),INDEX(Reorders!B$13:B$62,MATCH(63-COUNTIFS('New Tooling Jobs'!A$13:A$62,"&lt;&gt;",'New Tooling Jobs'!E$13:E$62,"&lt;&gt;Completed"),Reorders!AC$13:AC$62,0))),"")</f>
        <v/>
      </c>
      <c r="D72" s="41">
        <f>IFERROR(IF(63&lt;=COUNTIFS('New Tooling Jobs'!A$13:A$62,"&lt;&gt;",'New Tooling Jobs'!E$13:E$62,"&lt;&gt;Completed"),INDEX('New Tooling Jobs'!E$13:E$62,MATCH(63,'New Tooling Jobs'!AG$13:AG$62,0)),INDEX(Reorders!E$13:E$62,MATCH(63-COUNTIFS('New Tooling Jobs'!A$13:A$62,"&lt;&gt;",'New Tooling Jobs'!E$13:E$62,"&lt;&gt;Completed"),Reorders!AC$13:AC$62,0))),"")</f>
        <v/>
      </c>
      <c r="E72" s="40">
        <f>IFERROR(IF(63&lt;=COUNTIFS('New Tooling Jobs'!A$13:A$62,"&lt;&gt;",'New Tooling Jobs'!E$13:E$62,"&lt;&gt;Completed"),INDEX('New Tooling Jobs'!G$13:G$62,MATCH(63,'New Tooling Jobs'!AG$13:AG$62,0)),INDEX(Reorders!G$13:G$62,MATCH(63-COUNTIFS('New Tooling Jobs'!A$13:A$62,"&lt;&gt;",'New Tooling Jobs'!E$13:E$62,"&lt;&gt;Completed"),Reorders!AC$13:AC$62,0))),"")</f>
        <v/>
      </c>
      <c r="F72" s="40">
        <f>IFERROR(IF(63&lt;=COUNTIFS('New Tooling Jobs'!A$13:A$62,"&lt;&gt;",'New Tooling Jobs'!E$13:E$62,"&lt;&gt;Completed"),INDEX('New Tooling Jobs'!H$13:H$62,MATCH(63,'New Tooling Jobs'!AG$13:AG$62,0)),INDEX(Reorders!H$13:H$62,MATCH(63-COUNTIFS('New Tooling Jobs'!A$13:A$62,"&lt;&gt;",'New Tooling Jobs'!E$13:E$62,"&lt;&gt;Completed"),Reorders!AC$13:AC$62,0))),"")</f>
        <v/>
      </c>
      <c r="G72" s="41">
        <f>IFERROR(IF(63&lt;=COUNTIFS('New Tooling Jobs'!A$13:A$62,"&lt;&gt;",'New Tooling Jobs'!E$13:E$62,"&lt;&gt;Completed"),INDEX('New Tooling Jobs'!I$13:I$62,MATCH(63,'New Tooling Jobs'!AG$13:AG$62,0)),INDEX(Reorders!I$13:I$62,MATCH(63-COUNTIFS('New Tooling Jobs'!A$13:A$62,"&lt;&gt;",'New Tooling Jobs'!E$13:E$62,"&lt;&gt;Completed"),Reorders!AC$13:AC$62,0))),"")</f>
        <v/>
      </c>
    </row>
    <row r="73" ht="15" customHeight="1" s="25">
      <c r="A73" s="40">
        <f>IFERROR(IF(64&lt;=COUNTIFS('New Tooling Jobs'!A$13:A$62,"&lt;&gt;",'New Tooling Jobs'!E$13:E$62,"&lt;&gt;Completed"),INDEX('New Tooling Jobs'!A$13:A$62,MATCH(64,'New Tooling Jobs'!AG$13:AG$62,0)),INDEX(Reorders!A$13:A$62,MATCH(64-COUNTIFS('New Tooling Jobs'!A$13:A$62,"&lt;&gt;",'New Tooling Jobs'!E$13:E$62,"&lt;&gt;Completed"),Reorders!AC$13:AC$62,0))),"")</f>
        <v/>
      </c>
      <c r="B73" s="40">
        <f>IFERROR(IF(64&lt;=COUNTIFS('New Tooling Jobs'!A$13:A$62,"&lt;&gt;",'New Tooling Jobs'!E$13:E$62,"&lt;&gt;Completed"),IF(INDEX('New Tooling Jobs'!A$13:A$62,MATCH(64,'New Tooling Jobs'!AG$13:AG$62,0))&lt;&gt;"","New Tooling",""),IF(INDEX(Reorders!A$13:A$62,MATCH(64-COUNTIFS('New Tooling Jobs'!A$13:A$62,"&lt;&gt;",'New Tooling Jobs'!E$13:E$62,"&lt;&gt;Completed"),Reorders!AC$13:AC$62,0))&lt;&gt;"","Reorder","")),"")</f>
        <v/>
      </c>
      <c r="C73" s="41">
        <f>IFERROR(IF(64&lt;=COUNTIFS('New Tooling Jobs'!A$13:A$62,"&lt;&gt;",'New Tooling Jobs'!E$13:E$62,"&lt;&gt;Completed"),INDEX('New Tooling Jobs'!B$13:B$62,MATCH(64,'New Tooling Jobs'!AG$13:AG$62,0)),INDEX(Reorders!B$13:B$62,MATCH(64-COUNTIFS('New Tooling Jobs'!A$13:A$62,"&lt;&gt;",'New Tooling Jobs'!E$13:E$62,"&lt;&gt;Completed"),Reorders!AC$13:AC$62,0))),"")</f>
        <v/>
      </c>
      <c r="D73" s="41">
        <f>IFERROR(IF(64&lt;=COUNTIFS('New Tooling Jobs'!A$13:A$62,"&lt;&gt;",'New Tooling Jobs'!E$13:E$62,"&lt;&gt;Completed"),INDEX('New Tooling Jobs'!E$13:E$62,MATCH(64,'New Tooling Jobs'!AG$13:AG$62,0)),INDEX(Reorders!E$13:E$62,MATCH(64-COUNTIFS('New Tooling Jobs'!A$13:A$62,"&lt;&gt;",'New Tooling Jobs'!E$13:E$62,"&lt;&gt;Completed"),Reorders!AC$13:AC$62,0))),"")</f>
        <v/>
      </c>
      <c r="E73" s="40">
        <f>IFERROR(IF(64&lt;=COUNTIFS('New Tooling Jobs'!A$13:A$62,"&lt;&gt;",'New Tooling Jobs'!E$13:E$62,"&lt;&gt;Completed"),INDEX('New Tooling Jobs'!G$13:G$62,MATCH(64,'New Tooling Jobs'!AG$13:AG$62,0)),INDEX(Reorders!G$13:G$62,MATCH(64-COUNTIFS('New Tooling Jobs'!A$13:A$62,"&lt;&gt;",'New Tooling Jobs'!E$13:E$62,"&lt;&gt;Completed"),Reorders!AC$13:AC$62,0))),"")</f>
        <v/>
      </c>
      <c r="F73" s="40">
        <f>IFERROR(IF(64&lt;=COUNTIFS('New Tooling Jobs'!A$13:A$62,"&lt;&gt;",'New Tooling Jobs'!E$13:E$62,"&lt;&gt;Completed"),INDEX('New Tooling Jobs'!H$13:H$62,MATCH(64,'New Tooling Jobs'!AG$13:AG$62,0)),INDEX(Reorders!H$13:H$62,MATCH(64-COUNTIFS('New Tooling Jobs'!A$13:A$62,"&lt;&gt;",'New Tooling Jobs'!E$13:E$62,"&lt;&gt;Completed"),Reorders!AC$13:AC$62,0))),"")</f>
        <v/>
      </c>
      <c r="G73" s="41">
        <f>IFERROR(IF(64&lt;=COUNTIFS('New Tooling Jobs'!A$13:A$62,"&lt;&gt;",'New Tooling Jobs'!E$13:E$62,"&lt;&gt;Completed"),INDEX('New Tooling Jobs'!I$13:I$62,MATCH(64,'New Tooling Jobs'!AG$13:AG$62,0)),INDEX(Reorders!I$13:I$62,MATCH(64-COUNTIFS('New Tooling Jobs'!A$13:A$62,"&lt;&gt;",'New Tooling Jobs'!E$13:E$62,"&lt;&gt;Completed"),Reorders!AC$13:AC$62,0))),"")</f>
        <v/>
      </c>
    </row>
    <row r="74" ht="15" customHeight="1" s="25">
      <c r="A74" s="40">
        <f>IFERROR(IF(65&lt;=COUNTIFS('New Tooling Jobs'!A$13:A$62,"&lt;&gt;",'New Tooling Jobs'!E$13:E$62,"&lt;&gt;Completed"),INDEX('New Tooling Jobs'!A$13:A$62,MATCH(65,'New Tooling Jobs'!AG$13:AG$62,0)),INDEX(Reorders!A$13:A$62,MATCH(65-COUNTIFS('New Tooling Jobs'!A$13:A$62,"&lt;&gt;",'New Tooling Jobs'!E$13:E$62,"&lt;&gt;Completed"),Reorders!AC$13:AC$62,0))),"")</f>
        <v/>
      </c>
      <c r="B74" s="40">
        <f>IFERROR(IF(65&lt;=COUNTIFS('New Tooling Jobs'!A$13:A$62,"&lt;&gt;",'New Tooling Jobs'!E$13:E$62,"&lt;&gt;Completed"),IF(INDEX('New Tooling Jobs'!A$13:A$62,MATCH(65,'New Tooling Jobs'!AG$13:AG$62,0))&lt;&gt;"","New Tooling",""),IF(INDEX(Reorders!A$13:A$62,MATCH(65-COUNTIFS('New Tooling Jobs'!A$13:A$62,"&lt;&gt;",'New Tooling Jobs'!E$13:E$62,"&lt;&gt;Completed"),Reorders!AC$13:AC$62,0))&lt;&gt;"","Reorder","")),"")</f>
        <v/>
      </c>
      <c r="C74" s="41">
        <f>IFERROR(IF(65&lt;=COUNTIFS('New Tooling Jobs'!A$13:A$62,"&lt;&gt;",'New Tooling Jobs'!E$13:E$62,"&lt;&gt;Completed"),INDEX('New Tooling Jobs'!B$13:B$62,MATCH(65,'New Tooling Jobs'!AG$13:AG$62,0)),INDEX(Reorders!B$13:B$62,MATCH(65-COUNTIFS('New Tooling Jobs'!A$13:A$62,"&lt;&gt;",'New Tooling Jobs'!E$13:E$62,"&lt;&gt;Completed"),Reorders!AC$13:AC$62,0))),"")</f>
        <v/>
      </c>
      <c r="D74" s="41">
        <f>IFERROR(IF(65&lt;=COUNTIFS('New Tooling Jobs'!A$13:A$62,"&lt;&gt;",'New Tooling Jobs'!E$13:E$62,"&lt;&gt;Completed"),INDEX('New Tooling Jobs'!E$13:E$62,MATCH(65,'New Tooling Jobs'!AG$13:AG$62,0)),INDEX(Reorders!E$13:E$62,MATCH(65-COUNTIFS('New Tooling Jobs'!A$13:A$62,"&lt;&gt;",'New Tooling Jobs'!E$13:E$62,"&lt;&gt;Completed"),Reorders!AC$13:AC$62,0))),"")</f>
        <v/>
      </c>
      <c r="E74" s="40">
        <f>IFERROR(IF(65&lt;=COUNTIFS('New Tooling Jobs'!A$13:A$62,"&lt;&gt;",'New Tooling Jobs'!E$13:E$62,"&lt;&gt;Completed"),INDEX('New Tooling Jobs'!G$13:G$62,MATCH(65,'New Tooling Jobs'!AG$13:AG$62,0)),INDEX(Reorders!G$13:G$62,MATCH(65-COUNTIFS('New Tooling Jobs'!A$13:A$62,"&lt;&gt;",'New Tooling Jobs'!E$13:E$62,"&lt;&gt;Completed"),Reorders!AC$13:AC$62,0))),"")</f>
        <v/>
      </c>
      <c r="F74" s="40">
        <f>IFERROR(IF(65&lt;=COUNTIFS('New Tooling Jobs'!A$13:A$62,"&lt;&gt;",'New Tooling Jobs'!E$13:E$62,"&lt;&gt;Completed"),INDEX('New Tooling Jobs'!H$13:H$62,MATCH(65,'New Tooling Jobs'!AG$13:AG$62,0)),INDEX(Reorders!H$13:H$62,MATCH(65-COUNTIFS('New Tooling Jobs'!A$13:A$62,"&lt;&gt;",'New Tooling Jobs'!E$13:E$62,"&lt;&gt;Completed"),Reorders!AC$13:AC$62,0))),"")</f>
        <v/>
      </c>
      <c r="G74" s="41">
        <f>IFERROR(IF(65&lt;=COUNTIFS('New Tooling Jobs'!A$13:A$62,"&lt;&gt;",'New Tooling Jobs'!E$13:E$62,"&lt;&gt;Completed"),INDEX('New Tooling Jobs'!I$13:I$62,MATCH(65,'New Tooling Jobs'!AG$13:AG$62,0)),INDEX(Reorders!I$13:I$62,MATCH(65-COUNTIFS('New Tooling Jobs'!A$13:A$62,"&lt;&gt;",'New Tooling Jobs'!E$13:E$62,"&lt;&gt;Completed"),Reorders!AC$13:AC$62,0))),"")</f>
        <v/>
      </c>
    </row>
    <row r="75" ht="15" customHeight="1" s="25">
      <c r="A75" s="40">
        <f>IFERROR(IF(66&lt;=COUNTIFS('New Tooling Jobs'!A$13:A$62,"&lt;&gt;",'New Tooling Jobs'!E$13:E$62,"&lt;&gt;Completed"),INDEX('New Tooling Jobs'!A$13:A$62,MATCH(66,'New Tooling Jobs'!AG$13:AG$62,0)),INDEX(Reorders!A$13:A$62,MATCH(66-COUNTIFS('New Tooling Jobs'!A$13:A$62,"&lt;&gt;",'New Tooling Jobs'!E$13:E$62,"&lt;&gt;Completed"),Reorders!AC$13:AC$62,0))),"")</f>
        <v/>
      </c>
      <c r="B75" s="40">
        <f>IFERROR(IF(66&lt;=COUNTIFS('New Tooling Jobs'!A$13:A$62,"&lt;&gt;",'New Tooling Jobs'!E$13:E$62,"&lt;&gt;Completed"),IF(INDEX('New Tooling Jobs'!A$13:A$62,MATCH(66,'New Tooling Jobs'!AG$13:AG$62,0))&lt;&gt;"","New Tooling",""),IF(INDEX(Reorders!A$13:A$62,MATCH(66-COUNTIFS('New Tooling Jobs'!A$13:A$62,"&lt;&gt;",'New Tooling Jobs'!E$13:E$62,"&lt;&gt;Completed"),Reorders!AC$13:AC$62,0))&lt;&gt;"","Reorder","")),"")</f>
        <v/>
      </c>
      <c r="C75" s="41">
        <f>IFERROR(IF(66&lt;=COUNTIFS('New Tooling Jobs'!A$13:A$62,"&lt;&gt;",'New Tooling Jobs'!E$13:E$62,"&lt;&gt;Completed"),INDEX('New Tooling Jobs'!B$13:B$62,MATCH(66,'New Tooling Jobs'!AG$13:AG$62,0)),INDEX(Reorders!B$13:B$62,MATCH(66-COUNTIFS('New Tooling Jobs'!A$13:A$62,"&lt;&gt;",'New Tooling Jobs'!E$13:E$62,"&lt;&gt;Completed"),Reorders!AC$13:AC$62,0))),"")</f>
        <v/>
      </c>
      <c r="D75" s="41">
        <f>IFERROR(IF(66&lt;=COUNTIFS('New Tooling Jobs'!A$13:A$62,"&lt;&gt;",'New Tooling Jobs'!E$13:E$62,"&lt;&gt;Completed"),INDEX('New Tooling Jobs'!E$13:E$62,MATCH(66,'New Tooling Jobs'!AG$13:AG$62,0)),INDEX(Reorders!E$13:E$62,MATCH(66-COUNTIFS('New Tooling Jobs'!A$13:A$62,"&lt;&gt;",'New Tooling Jobs'!E$13:E$62,"&lt;&gt;Completed"),Reorders!AC$13:AC$62,0))),"")</f>
        <v/>
      </c>
      <c r="E75" s="40">
        <f>IFERROR(IF(66&lt;=COUNTIFS('New Tooling Jobs'!A$13:A$62,"&lt;&gt;",'New Tooling Jobs'!E$13:E$62,"&lt;&gt;Completed"),INDEX('New Tooling Jobs'!G$13:G$62,MATCH(66,'New Tooling Jobs'!AG$13:AG$62,0)),INDEX(Reorders!G$13:G$62,MATCH(66-COUNTIFS('New Tooling Jobs'!A$13:A$62,"&lt;&gt;",'New Tooling Jobs'!E$13:E$62,"&lt;&gt;Completed"),Reorders!AC$13:AC$62,0))),"")</f>
        <v/>
      </c>
      <c r="F75" s="40">
        <f>IFERROR(IF(66&lt;=COUNTIFS('New Tooling Jobs'!A$13:A$62,"&lt;&gt;",'New Tooling Jobs'!E$13:E$62,"&lt;&gt;Completed"),INDEX('New Tooling Jobs'!H$13:H$62,MATCH(66,'New Tooling Jobs'!AG$13:AG$62,0)),INDEX(Reorders!H$13:H$62,MATCH(66-COUNTIFS('New Tooling Jobs'!A$13:A$62,"&lt;&gt;",'New Tooling Jobs'!E$13:E$62,"&lt;&gt;Completed"),Reorders!AC$13:AC$62,0))),"")</f>
        <v/>
      </c>
      <c r="G75" s="41">
        <f>IFERROR(IF(66&lt;=COUNTIFS('New Tooling Jobs'!A$13:A$62,"&lt;&gt;",'New Tooling Jobs'!E$13:E$62,"&lt;&gt;Completed"),INDEX('New Tooling Jobs'!I$13:I$62,MATCH(66,'New Tooling Jobs'!AG$13:AG$62,0)),INDEX(Reorders!I$13:I$62,MATCH(66-COUNTIFS('New Tooling Jobs'!A$13:A$62,"&lt;&gt;",'New Tooling Jobs'!E$13:E$62,"&lt;&gt;Completed"),Reorders!AC$13:AC$62,0))),"")</f>
        <v/>
      </c>
    </row>
    <row r="76" ht="15" customHeight="1" s="25">
      <c r="A76" s="40">
        <f>IFERROR(IF(67&lt;=COUNTIFS('New Tooling Jobs'!A$13:A$62,"&lt;&gt;",'New Tooling Jobs'!E$13:E$62,"&lt;&gt;Completed"),INDEX('New Tooling Jobs'!A$13:A$62,MATCH(67,'New Tooling Jobs'!AG$13:AG$62,0)),INDEX(Reorders!A$13:A$62,MATCH(67-COUNTIFS('New Tooling Jobs'!A$13:A$62,"&lt;&gt;",'New Tooling Jobs'!E$13:E$62,"&lt;&gt;Completed"),Reorders!AC$13:AC$62,0))),"")</f>
        <v/>
      </c>
      <c r="B76" s="40">
        <f>IFERROR(IF(67&lt;=COUNTIFS('New Tooling Jobs'!A$13:A$62,"&lt;&gt;",'New Tooling Jobs'!E$13:E$62,"&lt;&gt;Completed"),IF(INDEX('New Tooling Jobs'!A$13:A$62,MATCH(67,'New Tooling Jobs'!AG$13:AG$62,0))&lt;&gt;"","New Tooling",""),IF(INDEX(Reorders!A$13:A$62,MATCH(67-COUNTIFS('New Tooling Jobs'!A$13:A$62,"&lt;&gt;",'New Tooling Jobs'!E$13:E$62,"&lt;&gt;Completed"),Reorders!AC$13:AC$62,0))&lt;&gt;"","Reorder","")),"")</f>
        <v/>
      </c>
      <c r="C76" s="41">
        <f>IFERROR(IF(67&lt;=COUNTIFS('New Tooling Jobs'!A$13:A$62,"&lt;&gt;",'New Tooling Jobs'!E$13:E$62,"&lt;&gt;Completed"),INDEX('New Tooling Jobs'!B$13:B$62,MATCH(67,'New Tooling Jobs'!AG$13:AG$62,0)),INDEX(Reorders!B$13:B$62,MATCH(67-COUNTIFS('New Tooling Jobs'!A$13:A$62,"&lt;&gt;",'New Tooling Jobs'!E$13:E$62,"&lt;&gt;Completed"),Reorders!AC$13:AC$62,0))),"")</f>
        <v/>
      </c>
      <c r="D76" s="41">
        <f>IFERROR(IF(67&lt;=COUNTIFS('New Tooling Jobs'!A$13:A$62,"&lt;&gt;",'New Tooling Jobs'!E$13:E$62,"&lt;&gt;Completed"),INDEX('New Tooling Jobs'!E$13:E$62,MATCH(67,'New Tooling Jobs'!AG$13:AG$62,0)),INDEX(Reorders!E$13:E$62,MATCH(67-COUNTIFS('New Tooling Jobs'!A$13:A$62,"&lt;&gt;",'New Tooling Jobs'!E$13:E$62,"&lt;&gt;Completed"),Reorders!AC$13:AC$62,0))),"")</f>
        <v/>
      </c>
      <c r="E76" s="40">
        <f>IFERROR(IF(67&lt;=COUNTIFS('New Tooling Jobs'!A$13:A$62,"&lt;&gt;",'New Tooling Jobs'!E$13:E$62,"&lt;&gt;Completed"),INDEX('New Tooling Jobs'!G$13:G$62,MATCH(67,'New Tooling Jobs'!AG$13:AG$62,0)),INDEX(Reorders!G$13:G$62,MATCH(67-COUNTIFS('New Tooling Jobs'!A$13:A$62,"&lt;&gt;",'New Tooling Jobs'!E$13:E$62,"&lt;&gt;Completed"),Reorders!AC$13:AC$62,0))),"")</f>
        <v/>
      </c>
      <c r="F76" s="40">
        <f>IFERROR(IF(67&lt;=COUNTIFS('New Tooling Jobs'!A$13:A$62,"&lt;&gt;",'New Tooling Jobs'!E$13:E$62,"&lt;&gt;Completed"),INDEX('New Tooling Jobs'!H$13:H$62,MATCH(67,'New Tooling Jobs'!AG$13:AG$62,0)),INDEX(Reorders!H$13:H$62,MATCH(67-COUNTIFS('New Tooling Jobs'!A$13:A$62,"&lt;&gt;",'New Tooling Jobs'!E$13:E$62,"&lt;&gt;Completed"),Reorders!AC$13:AC$62,0))),"")</f>
        <v/>
      </c>
      <c r="G76" s="41">
        <f>IFERROR(IF(67&lt;=COUNTIFS('New Tooling Jobs'!A$13:A$62,"&lt;&gt;",'New Tooling Jobs'!E$13:E$62,"&lt;&gt;Completed"),INDEX('New Tooling Jobs'!I$13:I$62,MATCH(67,'New Tooling Jobs'!AG$13:AG$62,0)),INDEX(Reorders!I$13:I$62,MATCH(67-COUNTIFS('New Tooling Jobs'!A$13:A$62,"&lt;&gt;",'New Tooling Jobs'!E$13:E$62,"&lt;&gt;Completed"),Reorders!AC$13:AC$62,0))),"")</f>
        <v/>
      </c>
    </row>
    <row r="77" ht="15" customHeight="1" s="25">
      <c r="A77" s="40">
        <f>IFERROR(IF(68&lt;=COUNTIFS('New Tooling Jobs'!A$13:A$62,"&lt;&gt;",'New Tooling Jobs'!E$13:E$62,"&lt;&gt;Completed"),INDEX('New Tooling Jobs'!A$13:A$62,MATCH(68,'New Tooling Jobs'!AG$13:AG$62,0)),INDEX(Reorders!A$13:A$62,MATCH(68-COUNTIFS('New Tooling Jobs'!A$13:A$62,"&lt;&gt;",'New Tooling Jobs'!E$13:E$62,"&lt;&gt;Completed"),Reorders!AC$13:AC$62,0))),"")</f>
        <v/>
      </c>
      <c r="B77" s="40">
        <f>IFERROR(IF(68&lt;=COUNTIFS('New Tooling Jobs'!A$13:A$62,"&lt;&gt;",'New Tooling Jobs'!E$13:E$62,"&lt;&gt;Completed"),IF(INDEX('New Tooling Jobs'!A$13:A$62,MATCH(68,'New Tooling Jobs'!AG$13:AG$62,0))&lt;&gt;"","New Tooling",""),IF(INDEX(Reorders!A$13:A$62,MATCH(68-COUNTIFS('New Tooling Jobs'!A$13:A$62,"&lt;&gt;",'New Tooling Jobs'!E$13:E$62,"&lt;&gt;Completed"),Reorders!AC$13:AC$62,0))&lt;&gt;"","Reorder","")),"")</f>
        <v/>
      </c>
      <c r="C77" s="41">
        <f>IFERROR(IF(68&lt;=COUNTIFS('New Tooling Jobs'!A$13:A$62,"&lt;&gt;",'New Tooling Jobs'!E$13:E$62,"&lt;&gt;Completed"),INDEX('New Tooling Jobs'!B$13:B$62,MATCH(68,'New Tooling Jobs'!AG$13:AG$62,0)),INDEX(Reorders!B$13:B$62,MATCH(68-COUNTIFS('New Tooling Jobs'!A$13:A$62,"&lt;&gt;",'New Tooling Jobs'!E$13:E$62,"&lt;&gt;Completed"),Reorders!AC$13:AC$62,0))),"")</f>
        <v/>
      </c>
      <c r="D77" s="41">
        <f>IFERROR(IF(68&lt;=COUNTIFS('New Tooling Jobs'!A$13:A$62,"&lt;&gt;",'New Tooling Jobs'!E$13:E$62,"&lt;&gt;Completed"),INDEX('New Tooling Jobs'!E$13:E$62,MATCH(68,'New Tooling Jobs'!AG$13:AG$62,0)),INDEX(Reorders!E$13:E$62,MATCH(68-COUNTIFS('New Tooling Jobs'!A$13:A$62,"&lt;&gt;",'New Tooling Jobs'!E$13:E$62,"&lt;&gt;Completed"),Reorders!AC$13:AC$62,0))),"")</f>
        <v/>
      </c>
      <c r="E77" s="40">
        <f>IFERROR(IF(68&lt;=COUNTIFS('New Tooling Jobs'!A$13:A$62,"&lt;&gt;",'New Tooling Jobs'!E$13:E$62,"&lt;&gt;Completed"),INDEX('New Tooling Jobs'!G$13:G$62,MATCH(68,'New Tooling Jobs'!AG$13:AG$62,0)),INDEX(Reorders!G$13:G$62,MATCH(68-COUNTIFS('New Tooling Jobs'!A$13:A$62,"&lt;&gt;",'New Tooling Jobs'!E$13:E$62,"&lt;&gt;Completed"),Reorders!AC$13:AC$62,0))),"")</f>
        <v/>
      </c>
      <c r="F77" s="40">
        <f>IFERROR(IF(68&lt;=COUNTIFS('New Tooling Jobs'!A$13:A$62,"&lt;&gt;",'New Tooling Jobs'!E$13:E$62,"&lt;&gt;Completed"),INDEX('New Tooling Jobs'!H$13:H$62,MATCH(68,'New Tooling Jobs'!AG$13:AG$62,0)),INDEX(Reorders!H$13:H$62,MATCH(68-COUNTIFS('New Tooling Jobs'!A$13:A$62,"&lt;&gt;",'New Tooling Jobs'!E$13:E$62,"&lt;&gt;Completed"),Reorders!AC$13:AC$62,0))),"")</f>
        <v/>
      </c>
      <c r="G77" s="41">
        <f>IFERROR(IF(68&lt;=COUNTIFS('New Tooling Jobs'!A$13:A$62,"&lt;&gt;",'New Tooling Jobs'!E$13:E$62,"&lt;&gt;Completed"),INDEX('New Tooling Jobs'!I$13:I$62,MATCH(68,'New Tooling Jobs'!AG$13:AG$62,0)),INDEX(Reorders!I$13:I$62,MATCH(68-COUNTIFS('New Tooling Jobs'!A$13:A$62,"&lt;&gt;",'New Tooling Jobs'!E$13:E$62,"&lt;&gt;Completed"),Reorders!AC$13:AC$62,0))),"")</f>
        <v/>
      </c>
    </row>
    <row r="78" ht="15" customHeight="1" s="25">
      <c r="A78" s="40">
        <f>IFERROR(IF(69&lt;=COUNTIFS('New Tooling Jobs'!A$13:A$62,"&lt;&gt;",'New Tooling Jobs'!E$13:E$62,"&lt;&gt;Completed"),INDEX('New Tooling Jobs'!A$13:A$62,MATCH(69,'New Tooling Jobs'!AG$13:AG$62,0)),INDEX(Reorders!A$13:A$62,MATCH(69-COUNTIFS('New Tooling Jobs'!A$13:A$62,"&lt;&gt;",'New Tooling Jobs'!E$13:E$62,"&lt;&gt;Completed"),Reorders!AC$13:AC$62,0))),"")</f>
        <v/>
      </c>
      <c r="B78" s="40">
        <f>IFERROR(IF(69&lt;=COUNTIFS('New Tooling Jobs'!A$13:A$62,"&lt;&gt;",'New Tooling Jobs'!E$13:E$62,"&lt;&gt;Completed"),IF(INDEX('New Tooling Jobs'!A$13:A$62,MATCH(69,'New Tooling Jobs'!AG$13:AG$62,0))&lt;&gt;"","New Tooling",""),IF(INDEX(Reorders!A$13:A$62,MATCH(69-COUNTIFS('New Tooling Jobs'!A$13:A$62,"&lt;&gt;",'New Tooling Jobs'!E$13:E$62,"&lt;&gt;Completed"),Reorders!AC$13:AC$62,0))&lt;&gt;"","Reorder","")),"")</f>
        <v/>
      </c>
      <c r="C78" s="41">
        <f>IFERROR(IF(69&lt;=COUNTIFS('New Tooling Jobs'!A$13:A$62,"&lt;&gt;",'New Tooling Jobs'!E$13:E$62,"&lt;&gt;Completed"),INDEX('New Tooling Jobs'!B$13:B$62,MATCH(69,'New Tooling Jobs'!AG$13:AG$62,0)),INDEX(Reorders!B$13:B$62,MATCH(69-COUNTIFS('New Tooling Jobs'!A$13:A$62,"&lt;&gt;",'New Tooling Jobs'!E$13:E$62,"&lt;&gt;Completed"),Reorders!AC$13:AC$62,0))),"")</f>
        <v/>
      </c>
      <c r="D78" s="41">
        <f>IFERROR(IF(69&lt;=COUNTIFS('New Tooling Jobs'!A$13:A$62,"&lt;&gt;",'New Tooling Jobs'!E$13:E$62,"&lt;&gt;Completed"),INDEX('New Tooling Jobs'!E$13:E$62,MATCH(69,'New Tooling Jobs'!AG$13:AG$62,0)),INDEX(Reorders!E$13:E$62,MATCH(69-COUNTIFS('New Tooling Jobs'!A$13:A$62,"&lt;&gt;",'New Tooling Jobs'!E$13:E$62,"&lt;&gt;Completed"),Reorders!AC$13:AC$62,0))),"")</f>
        <v/>
      </c>
      <c r="E78" s="40">
        <f>IFERROR(IF(69&lt;=COUNTIFS('New Tooling Jobs'!A$13:A$62,"&lt;&gt;",'New Tooling Jobs'!E$13:E$62,"&lt;&gt;Completed"),INDEX('New Tooling Jobs'!G$13:G$62,MATCH(69,'New Tooling Jobs'!AG$13:AG$62,0)),INDEX(Reorders!G$13:G$62,MATCH(69-COUNTIFS('New Tooling Jobs'!A$13:A$62,"&lt;&gt;",'New Tooling Jobs'!E$13:E$62,"&lt;&gt;Completed"),Reorders!AC$13:AC$62,0))),"")</f>
        <v/>
      </c>
      <c r="F78" s="40">
        <f>IFERROR(IF(69&lt;=COUNTIFS('New Tooling Jobs'!A$13:A$62,"&lt;&gt;",'New Tooling Jobs'!E$13:E$62,"&lt;&gt;Completed"),INDEX('New Tooling Jobs'!H$13:H$62,MATCH(69,'New Tooling Jobs'!AG$13:AG$62,0)),INDEX(Reorders!H$13:H$62,MATCH(69-COUNTIFS('New Tooling Jobs'!A$13:A$62,"&lt;&gt;",'New Tooling Jobs'!E$13:E$62,"&lt;&gt;Completed"),Reorders!AC$13:AC$62,0))),"")</f>
        <v/>
      </c>
      <c r="G78" s="41">
        <f>IFERROR(IF(69&lt;=COUNTIFS('New Tooling Jobs'!A$13:A$62,"&lt;&gt;",'New Tooling Jobs'!E$13:E$62,"&lt;&gt;Completed"),INDEX('New Tooling Jobs'!I$13:I$62,MATCH(69,'New Tooling Jobs'!AG$13:AG$62,0)),INDEX(Reorders!I$13:I$62,MATCH(69-COUNTIFS('New Tooling Jobs'!A$13:A$62,"&lt;&gt;",'New Tooling Jobs'!E$13:E$62,"&lt;&gt;Completed"),Reorders!AC$13:AC$62,0))),"")</f>
        <v/>
      </c>
    </row>
    <row r="79" ht="15" customHeight="1" s="25">
      <c r="A79" s="40">
        <f>IFERROR(IF(70&lt;=COUNTIFS('New Tooling Jobs'!A$13:A$62,"&lt;&gt;",'New Tooling Jobs'!E$13:E$62,"&lt;&gt;Completed"),INDEX('New Tooling Jobs'!A$13:A$62,MATCH(70,'New Tooling Jobs'!AG$13:AG$62,0)),INDEX(Reorders!A$13:A$62,MATCH(70-COUNTIFS('New Tooling Jobs'!A$13:A$62,"&lt;&gt;",'New Tooling Jobs'!E$13:E$62,"&lt;&gt;Completed"),Reorders!AC$13:AC$62,0))),"")</f>
        <v/>
      </c>
      <c r="B79" s="40">
        <f>IFERROR(IF(70&lt;=COUNTIFS('New Tooling Jobs'!A$13:A$62,"&lt;&gt;",'New Tooling Jobs'!E$13:E$62,"&lt;&gt;Completed"),IF(INDEX('New Tooling Jobs'!A$13:A$62,MATCH(70,'New Tooling Jobs'!AG$13:AG$62,0))&lt;&gt;"","New Tooling",""),IF(INDEX(Reorders!A$13:A$62,MATCH(70-COUNTIFS('New Tooling Jobs'!A$13:A$62,"&lt;&gt;",'New Tooling Jobs'!E$13:E$62,"&lt;&gt;Completed"),Reorders!AC$13:AC$62,0))&lt;&gt;"","Reorder","")),"")</f>
        <v/>
      </c>
      <c r="C79" s="41">
        <f>IFERROR(IF(70&lt;=COUNTIFS('New Tooling Jobs'!A$13:A$62,"&lt;&gt;",'New Tooling Jobs'!E$13:E$62,"&lt;&gt;Completed"),INDEX('New Tooling Jobs'!B$13:B$62,MATCH(70,'New Tooling Jobs'!AG$13:AG$62,0)),INDEX(Reorders!B$13:B$62,MATCH(70-COUNTIFS('New Tooling Jobs'!A$13:A$62,"&lt;&gt;",'New Tooling Jobs'!E$13:E$62,"&lt;&gt;Completed"),Reorders!AC$13:AC$62,0))),"")</f>
        <v/>
      </c>
      <c r="D79" s="41">
        <f>IFERROR(IF(70&lt;=COUNTIFS('New Tooling Jobs'!A$13:A$62,"&lt;&gt;",'New Tooling Jobs'!E$13:E$62,"&lt;&gt;Completed"),INDEX('New Tooling Jobs'!E$13:E$62,MATCH(70,'New Tooling Jobs'!AG$13:AG$62,0)),INDEX(Reorders!E$13:E$62,MATCH(70-COUNTIFS('New Tooling Jobs'!A$13:A$62,"&lt;&gt;",'New Tooling Jobs'!E$13:E$62,"&lt;&gt;Completed"),Reorders!AC$13:AC$62,0))),"")</f>
        <v/>
      </c>
      <c r="E79" s="40">
        <f>IFERROR(IF(70&lt;=COUNTIFS('New Tooling Jobs'!A$13:A$62,"&lt;&gt;",'New Tooling Jobs'!E$13:E$62,"&lt;&gt;Completed"),INDEX('New Tooling Jobs'!G$13:G$62,MATCH(70,'New Tooling Jobs'!AG$13:AG$62,0)),INDEX(Reorders!G$13:G$62,MATCH(70-COUNTIFS('New Tooling Jobs'!A$13:A$62,"&lt;&gt;",'New Tooling Jobs'!E$13:E$62,"&lt;&gt;Completed"),Reorders!AC$13:AC$62,0))),"")</f>
        <v/>
      </c>
      <c r="F79" s="40">
        <f>IFERROR(IF(70&lt;=COUNTIFS('New Tooling Jobs'!A$13:A$62,"&lt;&gt;",'New Tooling Jobs'!E$13:E$62,"&lt;&gt;Completed"),INDEX('New Tooling Jobs'!H$13:H$62,MATCH(70,'New Tooling Jobs'!AG$13:AG$62,0)),INDEX(Reorders!H$13:H$62,MATCH(70-COUNTIFS('New Tooling Jobs'!A$13:A$62,"&lt;&gt;",'New Tooling Jobs'!E$13:E$62,"&lt;&gt;Completed"),Reorders!AC$13:AC$62,0))),"")</f>
        <v/>
      </c>
      <c r="G79" s="41">
        <f>IFERROR(IF(70&lt;=COUNTIFS('New Tooling Jobs'!A$13:A$62,"&lt;&gt;",'New Tooling Jobs'!E$13:E$62,"&lt;&gt;Completed"),INDEX('New Tooling Jobs'!I$13:I$62,MATCH(70,'New Tooling Jobs'!AG$13:AG$62,0)),INDEX(Reorders!I$13:I$62,MATCH(70-COUNTIFS('New Tooling Jobs'!A$13:A$62,"&lt;&gt;",'New Tooling Jobs'!E$13:E$62,"&lt;&gt;Completed"),Reorders!AC$13:AC$62,0))),"")</f>
        <v/>
      </c>
    </row>
    <row r="80" ht="15" customHeight="1" s="25">
      <c r="A80" s="40">
        <f>IFERROR(IF(71&lt;=COUNTIFS('New Tooling Jobs'!A$13:A$62,"&lt;&gt;",'New Tooling Jobs'!E$13:E$62,"&lt;&gt;Completed"),INDEX('New Tooling Jobs'!A$13:A$62,MATCH(71,'New Tooling Jobs'!AG$13:AG$62,0)),INDEX(Reorders!A$13:A$62,MATCH(71-COUNTIFS('New Tooling Jobs'!A$13:A$62,"&lt;&gt;",'New Tooling Jobs'!E$13:E$62,"&lt;&gt;Completed"),Reorders!AC$13:AC$62,0))),"")</f>
        <v/>
      </c>
      <c r="B80" s="40">
        <f>IFERROR(IF(71&lt;=COUNTIFS('New Tooling Jobs'!A$13:A$62,"&lt;&gt;",'New Tooling Jobs'!E$13:E$62,"&lt;&gt;Completed"),IF(INDEX('New Tooling Jobs'!A$13:A$62,MATCH(71,'New Tooling Jobs'!AG$13:AG$62,0))&lt;&gt;"","New Tooling",""),IF(INDEX(Reorders!A$13:A$62,MATCH(71-COUNTIFS('New Tooling Jobs'!A$13:A$62,"&lt;&gt;",'New Tooling Jobs'!E$13:E$62,"&lt;&gt;Completed"),Reorders!AC$13:AC$62,0))&lt;&gt;"","Reorder","")),"")</f>
        <v/>
      </c>
      <c r="C80" s="41">
        <f>IFERROR(IF(71&lt;=COUNTIFS('New Tooling Jobs'!A$13:A$62,"&lt;&gt;",'New Tooling Jobs'!E$13:E$62,"&lt;&gt;Completed"),INDEX('New Tooling Jobs'!B$13:B$62,MATCH(71,'New Tooling Jobs'!AG$13:AG$62,0)),INDEX(Reorders!B$13:B$62,MATCH(71-COUNTIFS('New Tooling Jobs'!A$13:A$62,"&lt;&gt;",'New Tooling Jobs'!E$13:E$62,"&lt;&gt;Completed"),Reorders!AC$13:AC$62,0))),"")</f>
        <v/>
      </c>
      <c r="D80" s="41">
        <f>IFERROR(IF(71&lt;=COUNTIFS('New Tooling Jobs'!A$13:A$62,"&lt;&gt;",'New Tooling Jobs'!E$13:E$62,"&lt;&gt;Completed"),INDEX('New Tooling Jobs'!E$13:E$62,MATCH(71,'New Tooling Jobs'!AG$13:AG$62,0)),INDEX(Reorders!E$13:E$62,MATCH(71-COUNTIFS('New Tooling Jobs'!A$13:A$62,"&lt;&gt;",'New Tooling Jobs'!E$13:E$62,"&lt;&gt;Completed"),Reorders!AC$13:AC$62,0))),"")</f>
        <v/>
      </c>
      <c r="E80" s="40">
        <f>IFERROR(IF(71&lt;=COUNTIFS('New Tooling Jobs'!A$13:A$62,"&lt;&gt;",'New Tooling Jobs'!E$13:E$62,"&lt;&gt;Completed"),INDEX('New Tooling Jobs'!G$13:G$62,MATCH(71,'New Tooling Jobs'!AG$13:AG$62,0)),INDEX(Reorders!G$13:G$62,MATCH(71-COUNTIFS('New Tooling Jobs'!A$13:A$62,"&lt;&gt;",'New Tooling Jobs'!E$13:E$62,"&lt;&gt;Completed"),Reorders!AC$13:AC$62,0))),"")</f>
        <v/>
      </c>
      <c r="F80" s="40">
        <f>IFERROR(IF(71&lt;=COUNTIFS('New Tooling Jobs'!A$13:A$62,"&lt;&gt;",'New Tooling Jobs'!E$13:E$62,"&lt;&gt;Completed"),INDEX('New Tooling Jobs'!H$13:H$62,MATCH(71,'New Tooling Jobs'!AG$13:AG$62,0)),INDEX(Reorders!H$13:H$62,MATCH(71-COUNTIFS('New Tooling Jobs'!A$13:A$62,"&lt;&gt;",'New Tooling Jobs'!E$13:E$62,"&lt;&gt;Completed"),Reorders!AC$13:AC$62,0))),"")</f>
        <v/>
      </c>
      <c r="G80" s="41">
        <f>IFERROR(IF(71&lt;=COUNTIFS('New Tooling Jobs'!A$13:A$62,"&lt;&gt;",'New Tooling Jobs'!E$13:E$62,"&lt;&gt;Completed"),INDEX('New Tooling Jobs'!I$13:I$62,MATCH(71,'New Tooling Jobs'!AG$13:AG$62,0)),INDEX(Reorders!I$13:I$62,MATCH(71-COUNTIFS('New Tooling Jobs'!A$13:A$62,"&lt;&gt;",'New Tooling Jobs'!E$13:E$62,"&lt;&gt;Completed"),Reorders!AC$13:AC$62,0))),"")</f>
        <v/>
      </c>
    </row>
    <row r="81" ht="15" customHeight="1" s="25">
      <c r="A81" s="40">
        <f>IFERROR(IF(72&lt;=COUNTIFS('New Tooling Jobs'!A$13:A$62,"&lt;&gt;",'New Tooling Jobs'!E$13:E$62,"&lt;&gt;Completed"),INDEX('New Tooling Jobs'!A$13:A$62,MATCH(72,'New Tooling Jobs'!AG$13:AG$62,0)),INDEX(Reorders!A$13:A$62,MATCH(72-COUNTIFS('New Tooling Jobs'!A$13:A$62,"&lt;&gt;",'New Tooling Jobs'!E$13:E$62,"&lt;&gt;Completed"),Reorders!AC$13:AC$62,0))),"")</f>
        <v/>
      </c>
      <c r="B81" s="40">
        <f>IFERROR(IF(72&lt;=COUNTIFS('New Tooling Jobs'!A$13:A$62,"&lt;&gt;",'New Tooling Jobs'!E$13:E$62,"&lt;&gt;Completed"),IF(INDEX('New Tooling Jobs'!A$13:A$62,MATCH(72,'New Tooling Jobs'!AG$13:AG$62,0))&lt;&gt;"","New Tooling",""),IF(INDEX(Reorders!A$13:A$62,MATCH(72-COUNTIFS('New Tooling Jobs'!A$13:A$62,"&lt;&gt;",'New Tooling Jobs'!E$13:E$62,"&lt;&gt;Completed"),Reorders!AC$13:AC$62,0))&lt;&gt;"","Reorder","")),"")</f>
        <v/>
      </c>
      <c r="C81" s="41">
        <f>IFERROR(IF(72&lt;=COUNTIFS('New Tooling Jobs'!A$13:A$62,"&lt;&gt;",'New Tooling Jobs'!E$13:E$62,"&lt;&gt;Completed"),INDEX('New Tooling Jobs'!B$13:B$62,MATCH(72,'New Tooling Jobs'!AG$13:AG$62,0)),INDEX(Reorders!B$13:B$62,MATCH(72-COUNTIFS('New Tooling Jobs'!A$13:A$62,"&lt;&gt;",'New Tooling Jobs'!E$13:E$62,"&lt;&gt;Completed"),Reorders!AC$13:AC$62,0))),"")</f>
        <v/>
      </c>
      <c r="D81" s="41">
        <f>IFERROR(IF(72&lt;=COUNTIFS('New Tooling Jobs'!A$13:A$62,"&lt;&gt;",'New Tooling Jobs'!E$13:E$62,"&lt;&gt;Completed"),INDEX('New Tooling Jobs'!E$13:E$62,MATCH(72,'New Tooling Jobs'!AG$13:AG$62,0)),INDEX(Reorders!E$13:E$62,MATCH(72-COUNTIFS('New Tooling Jobs'!A$13:A$62,"&lt;&gt;",'New Tooling Jobs'!E$13:E$62,"&lt;&gt;Completed"),Reorders!AC$13:AC$62,0))),"")</f>
        <v/>
      </c>
      <c r="E81" s="40">
        <f>IFERROR(IF(72&lt;=COUNTIFS('New Tooling Jobs'!A$13:A$62,"&lt;&gt;",'New Tooling Jobs'!E$13:E$62,"&lt;&gt;Completed"),INDEX('New Tooling Jobs'!G$13:G$62,MATCH(72,'New Tooling Jobs'!AG$13:AG$62,0)),INDEX(Reorders!G$13:G$62,MATCH(72-COUNTIFS('New Tooling Jobs'!A$13:A$62,"&lt;&gt;",'New Tooling Jobs'!E$13:E$62,"&lt;&gt;Completed"),Reorders!AC$13:AC$62,0))),"")</f>
        <v/>
      </c>
      <c r="F81" s="40">
        <f>IFERROR(IF(72&lt;=COUNTIFS('New Tooling Jobs'!A$13:A$62,"&lt;&gt;",'New Tooling Jobs'!E$13:E$62,"&lt;&gt;Completed"),INDEX('New Tooling Jobs'!H$13:H$62,MATCH(72,'New Tooling Jobs'!AG$13:AG$62,0)),INDEX(Reorders!H$13:H$62,MATCH(72-COUNTIFS('New Tooling Jobs'!A$13:A$62,"&lt;&gt;",'New Tooling Jobs'!E$13:E$62,"&lt;&gt;Completed"),Reorders!AC$13:AC$62,0))),"")</f>
        <v/>
      </c>
      <c r="G81" s="41">
        <f>IFERROR(IF(72&lt;=COUNTIFS('New Tooling Jobs'!A$13:A$62,"&lt;&gt;",'New Tooling Jobs'!E$13:E$62,"&lt;&gt;Completed"),INDEX('New Tooling Jobs'!I$13:I$62,MATCH(72,'New Tooling Jobs'!AG$13:AG$62,0)),INDEX(Reorders!I$13:I$62,MATCH(72-COUNTIFS('New Tooling Jobs'!A$13:A$62,"&lt;&gt;",'New Tooling Jobs'!E$13:E$62,"&lt;&gt;Completed"),Reorders!AC$13:AC$62,0))),"")</f>
        <v/>
      </c>
    </row>
    <row r="82" ht="15" customHeight="1" s="25">
      <c r="A82" s="40">
        <f>IFERROR(IF(73&lt;=COUNTIFS('New Tooling Jobs'!A$13:A$62,"&lt;&gt;",'New Tooling Jobs'!E$13:E$62,"&lt;&gt;Completed"),INDEX('New Tooling Jobs'!A$13:A$62,MATCH(73,'New Tooling Jobs'!AG$13:AG$62,0)),INDEX(Reorders!A$13:A$62,MATCH(73-COUNTIFS('New Tooling Jobs'!A$13:A$62,"&lt;&gt;",'New Tooling Jobs'!E$13:E$62,"&lt;&gt;Completed"),Reorders!AC$13:AC$62,0))),"")</f>
        <v/>
      </c>
      <c r="B82" s="40">
        <f>IFERROR(IF(73&lt;=COUNTIFS('New Tooling Jobs'!A$13:A$62,"&lt;&gt;",'New Tooling Jobs'!E$13:E$62,"&lt;&gt;Completed"),IF(INDEX('New Tooling Jobs'!A$13:A$62,MATCH(73,'New Tooling Jobs'!AG$13:AG$62,0))&lt;&gt;"","New Tooling",""),IF(INDEX(Reorders!A$13:A$62,MATCH(73-COUNTIFS('New Tooling Jobs'!A$13:A$62,"&lt;&gt;",'New Tooling Jobs'!E$13:E$62,"&lt;&gt;Completed"),Reorders!AC$13:AC$62,0))&lt;&gt;"","Reorder","")),"")</f>
        <v/>
      </c>
      <c r="C82" s="41">
        <f>IFERROR(IF(73&lt;=COUNTIFS('New Tooling Jobs'!A$13:A$62,"&lt;&gt;",'New Tooling Jobs'!E$13:E$62,"&lt;&gt;Completed"),INDEX('New Tooling Jobs'!B$13:B$62,MATCH(73,'New Tooling Jobs'!AG$13:AG$62,0)),INDEX(Reorders!B$13:B$62,MATCH(73-COUNTIFS('New Tooling Jobs'!A$13:A$62,"&lt;&gt;",'New Tooling Jobs'!E$13:E$62,"&lt;&gt;Completed"),Reorders!AC$13:AC$62,0))),"")</f>
        <v/>
      </c>
      <c r="D82" s="41">
        <f>IFERROR(IF(73&lt;=COUNTIFS('New Tooling Jobs'!A$13:A$62,"&lt;&gt;",'New Tooling Jobs'!E$13:E$62,"&lt;&gt;Completed"),INDEX('New Tooling Jobs'!E$13:E$62,MATCH(73,'New Tooling Jobs'!AG$13:AG$62,0)),INDEX(Reorders!E$13:E$62,MATCH(73-COUNTIFS('New Tooling Jobs'!A$13:A$62,"&lt;&gt;",'New Tooling Jobs'!E$13:E$62,"&lt;&gt;Completed"),Reorders!AC$13:AC$62,0))),"")</f>
        <v/>
      </c>
      <c r="E82" s="40">
        <f>IFERROR(IF(73&lt;=COUNTIFS('New Tooling Jobs'!A$13:A$62,"&lt;&gt;",'New Tooling Jobs'!E$13:E$62,"&lt;&gt;Completed"),INDEX('New Tooling Jobs'!G$13:G$62,MATCH(73,'New Tooling Jobs'!AG$13:AG$62,0)),INDEX(Reorders!G$13:G$62,MATCH(73-COUNTIFS('New Tooling Jobs'!A$13:A$62,"&lt;&gt;",'New Tooling Jobs'!E$13:E$62,"&lt;&gt;Completed"),Reorders!AC$13:AC$62,0))),"")</f>
        <v/>
      </c>
      <c r="F82" s="40">
        <f>IFERROR(IF(73&lt;=COUNTIFS('New Tooling Jobs'!A$13:A$62,"&lt;&gt;",'New Tooling Jobs'!E$13:E$62,"&lt;&gt;Completed"),INDEX('New Tooling Jobs'!H$13:H$62,MATCH(73,'New Tooling Jobs'!AG$13:AG$62,0)),INDEX(Reorders!H$13:H$62,MATCH(73-COUNTIFS('New Tooling Jobs'!A$13:A$62,"&lt;&gt;",'New Tooling Jobs'!E$13:E$62,"&lt;&gt;Completed"),Reorders!AC$13:AC$62,0))),"")</f>
        <v/>
      </c>
      <c r="G82" s="41">
        <f>IFERROR(IF(73&lt;=COUNTIFS('New Tooling Jobs'!A$13:A$62,"&lt;&gt;",'New Tooling Jobs'!E$13:E$62,"&lt;&gt;Completed"),INDEX('New Tooling Jobs'!I$13:I$62,MATCH(73,'New Tooling Jobs'!AG$13:AG$62,0)),INDEX(Reorders!I$13:I$62,MATCH(73-COUNTIFS('New Tooling Jobs'!A$13:A$62,"&lt;&gt;",'New Tooling Jobs'!E$13:E$62,"&lt;&gt;Completed"),Reorders!AC$13:AC$62,0))),"")</f>
        <v/>
      </c>
    </row>
    <row r="83" ht="15" customHeight="1" s="25">
      <c r="A83" s="40">
        <f>IFERROR(IF(74&lt;=COUNTIFS('New Tooling Jobs'!A$13:A$62,"&lt;&gt;",'New Tooling Jobs'!E$13:E$62,"&lt;&gt;Completed"),INDEX('New Tooling Jobs'!A$13:A$62,MATCH(74,'New Tooling Jobs'!AG$13:AG$62,0)),INDEX(Reorders!A$13:A$62,MATCH(74-COUNTIFS('New Tooling Jobs'!A$13:A$62,"&lt;&gt;",'New Tooling Jobs'!E$13:E$62,"&lt;&gt;Completed"),Reorders!AC$13:AC$62,0))),"")</f>
        <v/>
      </c>
      <c r="B83" s="40">
        <f>IFERROR(IF(74&lt;=COUNTIFS('New Tooling Jobs'!A$13:A$62,"&lt;&gt;",'New Tooling Jobs'!E$13:E$62,"&lt;&gt;Completed"),IF(INDEX('New Tooling Jobs'!A$13:A$62,MATCH(74,'New Tooling Jobs'!AG$13:AG$62,0))&lt;&gt;"","New Tooling",""),IF(INDEX(Reorders!A$13:A$62,MATCH(74-COUNTIFS('New Tooling Jobs'!A$13:A$62,"&lt;&gt;",'New Tooling Jobs'!E$13:E$62,"&lt;&gt;Completed"),Reorders!AC$13:AC$62,0))&lt;&gt;"","Reorder","")),"")</f>
        <v/>
      </c>
      <c r="C83" s="41">
        <f>IFERROR(IF(74&lt;=COUNTIFS('New Tooling Jobs'!A$13:A$62,"&lt;&gt;",'New Tooling Jobs'!E$13:E$62,"&lt;&gt;Completed"),INDEX('New Tooling Jobs'!B$13:B$62,MATCH(74,'New Tooling Jobs'!AG$13:AG$62,0)),INDEX(Reorders!B$13:B$62,MATCH(74-COUNTIFS('New Tooling Jobs'!A$13:A$62,"&lt;&gt;",'New Tooling Jobs'!E$13:E$62,"&lt;&gt;Completed"),Reorders!AC$13:AC$62,0))),"")</f>
        <v/>
      </c>
      <c r="D83" s="41">
        <f>IFERROR(IF(74&lt;=COUNTIFS('New Tooling Jobs'!A$13:A$62,"&lt;&gt;",'New Tooling Jobs'!E$13:E$62,"&lt;&gt;Completed"),INDEX('New Tooling Jobs'!E$13:E$62,MATCH(74,'New Tooling Jobs'!AG$13:AG$62,0)),INDEX(Reorders!E$13:E$62,MATCH(74-COUNTIFS('New Tooling Jobs'!A$13:A$62,"&lt;&gt;",'New Tooling Jobs'!E$13:E$62,"&lt;&gt;Completed"),Reorders!AC$13:AC$62,0))),"")</f>
        <v/>
      </c>
      <c r="E83" s="40">
        <f>IFERROR(IF(74&lt;=COUNTIFS('New Tooling Jobs'!A$13:A$62,"&lt;&gt;",'New Tooling Jobs'!E$13:E$62,"&lt;&gt;Completed"),INDEX('New Tooling Jobs'!G$13:G$62,MATCH(74,'New Tooling Jobs'!AG$13:AG$62,0)),INDEX(Reorders!G$13:G$62,MATCH(74-COUNTIFS('New Tooling Jobs'!A$13:A$62,"&lt;&gt;",'New Tooling Jobs'!E$13:E$62,"&lt;&gt;Completed"),Reorders!AC$13:AC$62,0))),"")</f>
        <v/>
      </c>
      <c r="F83" s="40">
        <f>IFERROR(IF(74&lt;=COUNTIFS('New Tooling Jobs'!A$13:A$62,"&lt;&gt;",'New Tooling Jobs'!E$13:E$62,"&lt;&gt;Completed"),INDEX('New Tooling Jobs'!H$13:H$62,MATCH(74,'New Tooling Jobs'!AG$13:AG$62,0)),INDEX(Reorders!H$13:H$62,MATCH(74-COUNTIFS('New Tooling Jobs'!A$13:A$62,"&lt;&gt;",'New Tooling Jobs'!E$13:E$62,"&lt;&gt;Completed"),Reorders!AC$13:AC$62,0))),"")</f>
        <v/>
      </c>
      <c r="G83" s="41">
        <f>IFERROR(IF(74&lt;=COUNTIFS('New Tooling Jobs'!A$13:A$62,"&lt;&gt;",'New Tooling Jobs'!E$13:E$62,"&lt;&gt;Completed"),INDEX('New Tooling Jobs'!I$13:I$62,MATCH(74,'New Tooling Jobs'!AG$13:AG$62,0)),INDEX(Reorders!I$13:I$62,MATCH(74-COUNTIFS('New Tooling Jobs'!A$13:A$62,"&lt;&gt;",'New Tooling Jobs'!E$13:E$62,"&lt;&gt;Completed"),Reorders!AC$13:AC$62,0))),"")</f>
        <v/>
      </c>
    </row>
    <row r="84" ht="15" customHeight="1" s="25">
      <c r="A84" s="40">
        <f>IFERROR(IF(75&lt;=COUNTIFS('New Tooling Jobs'!A$13:A$62,"&lt;&gt;",'New Tooling Jobs'!E$13:E$62,"&lt;&gt;Completed"),INDEX('New Tooling Jobs'!A$13:A$62,MATCH(75,'New Tooling Jobs'!AG$13:AG$62,0)),INDEX(Reorders!A$13:A$62,MATCH(75-COUNTIFS('New Tooling Jobs'!A$13:A$62,"&lt;&gt;",'New Tooling Jobs'!E$13:E$62,"&lt;&gt;Completed"),Reorders!AC$13:AC$62,0))),"")</f>
        <v/>
      </c>
      <c r="B84" s="40">
        <f>IFERROR(IF(75&lt;=COUNTIFS('New Tooling Jobs'!A$13:A$62,"&lt;&gt;",'New Tooling Jobs'!E$13:E$62,"&lt;&gt;Completed"),IF(INDEX('New Tooling Jobs'!A$13:A$62,MATCH(75,'New Tooling Jobs'!AG$13:AG$62,0))&lt;&gt;"","New Tooling",""),IF(INDEX(Reorders!A$13:A$62,MATCH(75-COUNTIFS('New Tooling Jobs'!A$13:A$62,"&lt;&gt;",'New Tooling Jobs'!E$13:E$62,"&lt;&gt;Completed"),Reorders!AC$13:AC$62,0))&lt;&gt;"","Reorder","")),"")</f>
        <v/>
      </c>
      <c r="C84" s="41">
        <f>IFERROR(IF(75&lt;=COUNTIFS('New Tooling Jobs'!A$13:A$62,"&lt;&gt;",'New Tooling Jobs'!E$13:E$62,"&lt;&gt;Completed"),INDEX('New Tooling Jobs'!B$13:B$62,MATCH(75,'New Tooling Jobs'!AG$13:AG$62,0)),INDEX(Reorders!B$13:B$62,MATCH(75-COUNTIFS('New Tooling Jobs'!A$13:A$62,"&lt;&gt;",'New Tooling Jobs'!E$13:E$62,"&lt;&gt;Completed"),Reorders!AC$13:AC$62,0))),"")</f>
        <v/>
      </c>
      <c r="D84" s="41">
        <f>IFERROR(IF(75&lt;=COUNTIFS('New Tooling Jobs'!A$13:A$62,"&lt;&gt;",'New Tooling Jobs'!E$13:E$62,"&lt;&gt;Completed"),INDEX('New Tooling Jobs'!E$13:E$62,MATCH(75,'New Tooling Jobs'!AG$13:AG$62,0)),INDEX(Reorders!E$13:E$62,MATCH(75-COUNTIFS('New Tooling Jobs'!A$13:A$62,"&lt;&gt;",'New Tooling Jobs'!E$13:E$62,"&lt;&gt;Completed"),Reorders!AC$13:AC$62,0))),"")</f>
        <v/>
      </c>
      <c r="E84" s="40">
        <f>IFERROR(IF(75&lt;=COUNTIFS('New Tooling Jobs'!A$13:A$62,"&lt;&gt;",'New Tooling Jobs'!E$13:E$62,"&lt;&gt;Completed"),INDEX('New Tooling Jobs'!G$13:G$62,MATCH(75,'New Tooling Jobs'!AG$13:AG$62,0)),INDEX(Reorders!G$13:G$62,MATCH(75-COUNTIFS('New Tooling Jobs'!A$13:A$62,"&lt;&gt;",'New Tooling Jobs'!E$13:E$62,"&lt;&gt;Completed"),Reorders!AC$13:AC$62,0))),"")</f>
        <v/>
      </c>
      <c r="F84" s="40">
        <f>IFERROR(IF(75&lt;=COUNTIFS('New Tooling Jobs'!A$13:A$62,"&lt;&gt;",'New Tooling Jobs'!E$13:E$62,"&lt;&gt;Completed"),INDEX('New Tooling Jobs'!H$13:H$62,MATCH(75,'New Tooling Jobs'!AG$13:AG$62,0)),INDEX(Reorders!H$13:H$62,MATCH(75-COUNTIFS('New Tooling Jobs'!A$13:A$62,"&lt;&gt;",'New Tooling Jobs'!E$13:E$62,"&lt;&gt;Completed"),Reorders!AC$13:AC$62,0))),"")</f>
        <v/>
      </c>
      <c r="G84" s="41">
        <f>IFERROR(IF(75&lt;=COUNTIFS('New Tooling Jobs'!A$13:A$62,"&lt;&gt;",'New Tooling Jobs'!E$13:E$62,"&lt;&gt;Completed"),INDEX('New Tooling Jobs'!I$13:I$62,MATCH(75,'New Tooling Jobs'!AG$13:AG$62,0)),INDEX(Reorders!I$13:I$62,MATCH(75-COUNTIFS('New Tooling Jobs'!A$13:A$62,"&lt;&gt;",'New Tooling Jobs'!E$13:E$62,"&lt;&gt;Completed"),Reorders!AC$13:AC$62,0))),"")</f>
        <v/>
      </c>
    </row>
    <row r="85" ht="15" customHeight="1" s="25">
      <c r="A85" s="40">
        <f>IFERROR(IF(76&lt;=COUNTIFS('New Tooling Jobs'!A$13:A$62,"&lt;&gt;",'New Tooling Jobs'!E$13:E$62,"&lt;&gt;Completed"),INDEX('New Tooling Jobs'!A$13:A$62,MATCH(76,'New Tooling Jobs'!AG$13:AG$62,0)),INDEX(Reorders!A$13:A$62,MATCH(76-COUNTIFS('New Tooling Jobs'!A$13:A$62,"&lt;&gt;",'New Tooling Jobs'!E$13:E$62,"&lt;&gt;Completed"),Reorders!AC$13:AC$62,0))),"")</f>
        <v/>
      </c>
      <c r="B85" s="40">
        <f>IFERROR(IF(76&lt;=COUNTIFS('New Tooling Jobs'!A$13:A$62,"&lt;&gt;",'New Tooling Jobs'!E$13:E$62,"&lt;&gt;Completed"),IF(INDEX('New Tooling Jobs'!A$13:A$62,MATCH(76,'New Tooling Jobs'!AG$13:AG$62,0))&lt;&gt;"","New Tooling",""),IF(INDEX(Reorders!A$13:A$62,MATCH(76-COUNTIFS('New Tooling Jobs'!A$13:A$62,"&lt;&gt;",'New Tooling Jobs'!E$13:E$62,"&lt;&gt;Completed"),Reorders!AC$13:AC$62,0))&lt;&gt;"","Reorder","")),"")</f>
        <v/>
      </c>
      <c r="C85" s="41">
        <f>IFERROR(IF(76&lt;=COUNTIFS('New Tooling Jobs'!A$13:A$62,"&lt;&gt;",'New Tooling Jobs'!E$13:E$62,"&lt;&gt;Completed"),INDEX('New Tooling Jobs'!B$13:B$62,MATCH(76,'New Tooling Jobs'!AG$13:AG$62,0)),INDEX(Reorders!B$13:B$62,MATCH(76-COUNTIFS('New Tooling Jobs'!A$13:A$62,"&lt;&gt;",'New Tooling Jobs'!E$13:E$62,"&lt;&gt;Completed"),Reorders!AC$13:AC$62,0))),"")</f>
        <v/>
      </c>
      <c r="D85" s="41">
        <f>IFERROR(IF(76&lt;=COUNTIFS('New Tooling Jobs'!A$13:A$62,"&lt;&gt;",'New Tooling Jobs'!E$13:E$62,"&lt;&gt;Completed"),INDEX('New Tooling Jobs'!E$13:E$62,MATCH(76,'New Tooling Jobs'!AG$13:AG$62,0)),INDEX(Reorders!E$13:E$62,MATCH(76-COUNTIFS('New Tooling Jobs'!A$13:A$62,"&lt;&gt;",'New Tooling Jobs'!E$13:E$62,"&lt;&gt;Completed"),Reorders!AC$13:AC$62,0))),"")</f>
        <v/>
      </c>
      <c r="E85" s="40">
        <f>IFERROR(IF(76&lt;=COUNTIFS('New Tooling Jobs'!A$13:A$62,"&lt;&gt;",'New Tooling Jobs'!E$13:E$62,"&lt;&gt;Completed"),INDEX('New Tooling Jobs'!G$13:G$62,MATCH(76,'New Tooling Jobs'!AG$13:AG$62,0)),INDEX(Reorders!G$13:G$62,MATCH(76-COUNTIFS('New Tooling Jobs'!A$13:A$62,"&lt;&gt;",'New Tooling Jobs'!E$13:E$62,"&lt;&gt;Completed"),Reorders!AC$13:AC$62,0))),"")</f>
        <v/>
      </c>
      <c r="F85" s="40">
        <f>IFERROR(IF(76&lt;=COUNTIFS('New Tooling Jobs'!A$13:A$62,"&lt;&gt;",'New Tooling Jobs'!E$13:E$62,"&lt;&gt;Completed"),INDEX('New Tooling Jobs'!H$13:H$62,MATCH(76,'New Tooling Jobs'!AG$13:AG$62,0)),INDEX(Reorders!H$13:H$62,MATCH(76-COUNTIFS('New Tooling Jobs'!A$13:A$62,"&lt;&gt;",'New Tooling Jobs'!E$13:E$62,"&lt;&gt;Completed"),Reorders!AC$13:AC$62,0))),"")</f>
        <v/>
      </c>
      <c r="G85" s="41">
        <f>IFERROR(IF(76&lt;=COUNTIFS('New Tooling Jobs'!A$13:A$62,"&lt;&gt;",'New Tooling Jobs'!E$13:E$62,"&lt;&gt;Completed"),INDEX('New Tooling Jobs'!I$13:I$62,MATCH(76,'New Tooling Jobs'!AG$13:AG$62,0)),INDEX(Reorders!I$13:I$62,MATCH(76-COUNTIFS('New Tooling Jobs'!A$13:A$62,"&lt;&gt;",'New Tooling Jobs'!E$13:E$62,"&lt;&gt;Completed"),Reorders!AC$13:AC$62,0))),"")</f>
        <v/>
      </c>
    </row>
    <row r="86" ht="15" customHeight="1" s="25">
      <c r="A86" s="40">
        <f>IFERROR(IF(77&lt;=COUNTIFS('New Tooling Jobs'!A$13:A$62,"&lt;&gt;",'New Tooling Jobs'!E$13:E$62,"&lt;&gt;Completed"),INDEX('New Tooling Jobs'!A$13:A$62,MATCH(77,'New Tooling Jobs'!AG$13:AG$62,0)),INDEX(Reorders!A$13:A$62,MATCH(77-COUNTIFS('New Tooling Jobs'!A$13:A$62,"&lt;&gt;",'New Tooling Jobs'!E$13:E$62,"&lt;&gt;Completed"),Reorders!AC$13:AC$62,0))),"")</f>
        <v/>
      </c>
      <c r="B86" s="40">
        <f>IFERROR(IF(77&lt;=COUNTIFS('New Tooling Jobs'!A$13:A$62,"&lt;&gt;",'New Tooling Jobs'!E$13:E$62,"&lt;&gt;Completed"),IF(INDEX('New Tooling Jobs'!A$13:A$62,MATCH(77,'New Tooling Jobs'!AG$13:AG$62,0))&lt;&gt;"","New Tooling",""),IF(INDEX(Reorders!A$13:A$62,MATCH(77-COUNTIFS('New Tooling Jobs'!A$13:A$62,"&lt;&gt;",'New Tooling Jobs'!E$13:E$62,"&lt;&gt;Completed"),Reorders!AC$13:AC$62,0))&lt;&gt;"","Reorder","")),"")</f>
        <v/>
      </c>
      <c r="C86" s="41">
        <f>IFERROR(IF(77&lt;=COUNTIFS('New Tooling Jobs'!A$13:A$62,"&lt;&gt;",'New Tooling Jobs'!E$13:E$62,"&lt;&gt;Completed"),INDEX('New Tooling Jobs'!B$13:B$62,MATCH(77,'New Tooling Jobs'!AG$13:AG$62,0)),INDEX(Reorders!B$13:B$62,MATCH(77-COUNTIFS('New Tooling Jobs'!A$13:A$62,"&lt;&gt;",'New Tooling Jobs'!E$13:E$62,"&lt;&gt;Completed"),Reorders!AC$13:AC$62,0))),"")</f>
        <v/>
      </c>
      <c r="D86" s="41">
        <f>IFERROR(IF(77&lt;=COUNTIFS('New Tooling Jobs'!A$13:A$62,"&lt;&gt;",'New Tooling Jobs'!E$13:E$62,"&lt;&gt;Completed"),INDEX('New Tooling Jobs'!E$13:E$62,MATCH(77,'New Tooling Jobs'!AG$13:AG$62,0)),INDEX(Reorders!E$13:E$62,MATCH(77-COUNTIFS('New Tooling Jobs'!A$13:A$62,"&lt;&gt;",'New Tooling Jobs'!E$13:E$62,"&lt;&gt;Completed"),Reorders!AC$13:AC$62,0))),"")</f>
        <v/>
      </c>
      <c r="E86" s="40">
        <f>IFERROR(IF(77&lt;=COUNTIFS('New Tooling Jobs'!A$13:A$62,"&lt;&gt;",'New Tooling Jobs'!E$13:E$62,"&lt;&gt;Completed"),INDEX('New Tooling Jobs'!G$13:G$62,MATCH(77,'New Tooling Jobs'!AG$13:AG$62,0)),INDEX(Reorders!G$13:G$62,MATCH(77-COUNTIFS('New Tooling Jobs'!A$13:A$62,"&lt;&gt;",'New Tooling Jobs'!E$13:E$62,"&lt;&gt;Completed"),Reorders!AC$13:AC$62,0))),"")</f>
        <v/>
      </c>
      <c r="F86" s="40">
        <f>IFERROR(IF(77&lt;=COUNTIFS('New Tooling Jobs'!A$13:A$62,"&lt;&gt;",'New Tooling Jobs'!E$13:E$62,"&lt;&gt;Completed"),INDEX('New Tooling Jobs'!H$13:H$62,MATCH(77,'New Tooling Jobs'!AG$13:AG$62,0)),INDEX(Reorders!H$13:H$62,MATCH(77-COUNTIFS('New Tooling Jobs'!A$13:A$62,"&lt;&gt;",'New Tooling Jobs'!E$13:E$62,"&lt;&gt;Completed"),Reorders!AC$13:AC$62,0))),"")</f>
        <v/>
      </c>
      <c r="G86" s="41">
        <f>IFERROR(IF(77&lt;=COUNTIFS('New Tooling Jobs'!A$13:A$62,"&lt;&gt;",'New Tooling Jobs'!E$13:E$62,"&lt;&gt;Completed"),INDEX('New Tooling Jobs'!I$13:I$62,MATCH(77,'New Tooling Jobs'!AG$13:AG$62,0)),INDEX(Reorders!I$13:I$62,MATCH(77-COUNTIFS('New Tooling Jobs'!A$13:A$62,"&lt;&gt;",'New Tooling Jobs'!E$13:E$62,"&lt;&gt;Completed"),Reorders!AC$13:AC$62,0))),"")</f>
        <v/>
      </c>
    </row>
    <row r="87" ht="15" customHeight="1" s="25">
      <c r="A87" s="40">
        <f>IFERROR(IF(78&lt;=COUNTIFS('New Tooling Jobs'!A$13:A$62,"&lt;&gt;",'New Tooling Jobs'!E$13:E$62,"&lt;&gt;Completed"),INDEX('New Tooling Jobs'!A$13:A$62,MATCH(78,'New Tooling Jobs'!AG$13:AG$62,0)),INDEX(Reorders!A$13:A$62,MATCH(78-COUNTIFS('New Tooling Jobs'!A$13:A$62,"&lt;&gt;",'New Tooling Jobs'!E$13:E$62,"&lt;&gt;Completed"),Reorders!AC$13:AC$62,0))),"")</f>
        <v/>
      </c>
      <c r="B87" s="40">
        <f>IFERROR(IF(78&lt;=COUNTIFS('New Tooling Jobs'!A$13:A$62,"&lt;&gt;",'New Tooling Jobs'!E$13:E$62,"&lt;&gt;Completed"),IF(INDEX('New Tooling Jobs'!A$13:A$62,MATCH(78,'New Tooling Jobs'!AG$13:AG$62,0))&lt;&gt;"","New Tooling",""),IF(INDEX(Reorders!A$13:A$62,MATCH(78-COUNTIFS('New Tooling Jobs'!A$13:A$62,"&lt;&gt;",'New Tooling Jobs'!E$13:E$62,"&lt;&gt;Completed"),Reorders!AC$13:AC$62,0))&lt;&gt;"","Reorder","")),"")</f>
        <v/>
      </c>
      <c r="C87" s="41">
        <f>IFERROR(IF(78&lt;=COUNTIFS('New Tooling Jobs'!A$13:A$62,"&lt;&gt;",'New Tooling Jobs'!E$13:E$62,"&lt;&gt;Completed"),INDEX('New Tooling Jobs'!B$13:B$62,MATCH(78,'New Tooling Jobs'!AG$13:AG$62,0)),INDEX(Reorders!B$13:B$62,MATCH(78-COUNTIFS('New Tooling Jobs'!A$13:A$62,"&lt;&gt;",'New Tooling Jobs'!E$13:E$62,"&lt;&gt;Completed"),Reorders!AC$13:AC$62,0))),"")</f>
        <v/>
      </c>
      <c r="D87" s="41">
        <f>IFERROR(IF(78&lt;=COUNTIFS('New Tooling Jobs'!A$13:A$62,"&lt;&gt;",'New Tooling Jobs'!E$13:E$62,"&lt;&gt;Completed"),INDEX('New Tooling Jobs'!E$13:E$62,MATCH(78,'New Tooling Jobs'!AG$13:AG$62,0)),INDEX(Reorders!E$13:E$62,MATCH(78-COUNTIFS('New Tooling Jobs'!A$13:A$62,"&lt;&gt;",'New Tooling Jobs'!E$13:E$62,"&lt;&gt;Completed"),Reorders!AC$13:AC$62,0))),"")</f>
        <v/>
      </c>
      <c r="E87" s="40">
        <f>IFERROR(IF(78&lt;=COUNTIFS('New Tooling Jobs'!A$13:A$62,"&lt;&gt;",'New Tooling Jobs'!E$13:E$62,"&lt;&gt;Completed"),INDEX('New Tooling Jobs'!G$13:G$62,MATCH(78,'New Tooling Jobs'!AG$13:AG$62,0)),INDEX(Reorders!G$13:G$62,MATCH(78-COUNTIFS('New Tooling Jobs'!A$13:A$62,"&lt;&gt;",'New Tooling Jobs'!E$13:E$62,"&lt;&gt;Completed"),Reorders!AC$13:AC$62,0))),"")</f>
        <v/>
      </c>
      <c r="F87" s="40">
        <f>IFERROR(IF(78&lt;=COUNTIFS('New Tooling Jobs'!A$13:A$62,"&lt;&gt;",'New Tooling Jobs'!E$13:E$62,"&lt;&gt;Completed"),INDEX('New Tooling Jobs'!H$13:H$62,MATCH(78,'New Tooling Jobs'!AG$13:AG$62,0)),INDEX(Reorders!H$13:H$62,MATCH(78-COUNTIFS('New Tooling Jobs'!A$13:A$62,"&lt;&gt;",'New Tooling Jobs'!E$13:E$62,"&lt;&gt;Completed"),Reorders!AC$13:AC$62,0))),"")</f>
        <v/>
      </c>
      <c r="G87" s="41">
        <f>IFERROR(IF(78&lt;=COUNTIFS('New Tooling Jobs'!A$13:A$62,"&lt;&gt;",'New Tooling Jobs'!E$13:E$62,"&lt;&gt;Completed"),INDEX('New Tooling Jobs'!I$13:I$62,MATCH(78,'New Tooling Jobs'!AG$13:AG$62,0)),INDEX(Reorders!I$13:I$62,MATCH(78-COUNTIFS('New Tooling Jobs'!A$13:A$62,"&lt;&gt;",'New Tooling Jobs'!E$13:E$62,"&lt;&gt;Completed"),Reorders!AC$13:AC$62,0))),"")</f>
        <v/>
      </c>
    </row>
    <row r="88" ht="15" customHeight="1" s="25">
      <c r="A88" s="40">
        <f>IFERROR(IF(79&lt;=COUNTIFS('New Tooling Jobs'!A$13:A$62,"&lt;&gt;",'New Tooling Jobs'!E$13:E$62,"&lt;&gt;Completed"),INDEX('New Tooling Jobs'!A$13:A$62,MATCH(79,'New Tooling Jobs'!AG$13:AG$62,0)),INDEX(Reorders!A$13:A$62,MATCH(79-COUNTIFS('New Tooling Jobs'!A$13:A$62,"&lt;&gt;",'New Tooling Jobs'!E$13:E$62,"&lt;&gt;Completed"),Reorders!AC$13:AC$62,0))),"")</f>
        <v/>
      </c>
      <c r="B88" s="40">
        <f>IFERROR(IF(79&lt;=COUNTIFS('New Tooling Jobs'!A$13:A$62,"&lt;&gt;",'New Tooling Jobs'!E$13:E$62,"&lt;&gt;Completed"),IF(INDEX('New Tooling Jobs'!A$13:A$62,MATCH(79,'New Tooling Jobs'!AG$13:AG$62,0))&lt;&gt;"","New Tooling",""),IF(INDEX(Reorders!A$13:A$62,MATCH(79-COUNTIFS('New Tooling Jobs'!A$13:A$62,"&lt;&gt;",'New Tooling Jobs'!E$13:E$62,"&lt;&gt;Completed"),Reorders!AC$13:AC$62,0))&lt;&gt;"","Reorder","")),"")</f>
        <v/>
      </c>
      <c r="C88" s="41">
        <f>IFERROR(IF(79&lt;=COUNTIFS('New Tooling Jobs'!A$13:A$62,"&lt;&gt;",'New Tooling Jobs'!E$13:E$62,"&lt;&gt;Completed"),INDEX('New Tooling Jobs'!B$13:B$62,MATCH(79,'New Tooling Jobs'!AG$13:AG$62,0)),INDEX(Reorders!B$13:B$62,MATCH(79-COUNTIFS('New Tooling Jobs'!A$13:A$62,"&lt;&gt;",'New Tooling Jobs'!E$13:E$62,"&lt;&gt;Completed"),Reorders!AC$13:AC$62,0))),"")</f>
        <v/>
      </c>
      <c r="D88" s="41">
        <f>IFERROR(IF(79&lt;=COUNTIFS('New Tooling Jobs'!A$13:A$62,"&lt;&gt;",'New Tooling Jobs'!E$13:E$62,"&lt;&gt;Completed"),INDEX('New Tooling Jobs'!E$13:E$62,MATCH(79,'New Tooling Jobs'!AG$13:AG$62,0)),INDEX(Reorders!E$13:E$62,MATCH(79-COUNTIFS('New Tooling Jobs'!A$13:A$62,"&lt;&gt;",'New Tooling Jobs'!E$13:E$62,"&lt;&gt;Completed"),Reorders!AC$13:AC$62,0))),"")</f>
        <v/>
      </c>
      <c r="E88" s="40">
        <f>IFERROR(IF(79&lt;=COUNTIFS('New Tooling Jobs'!A$13:A$62,"&lt;&gt;",'New Tooling Jobs'!E$13:E$62,"&lt;&gt;Completed"),INDEX('New Tooling Jobs'!G$13:G$62,MATCH(79,'New Tooling Jobs'!AG$13:AG$62,0)),INDEX(Reorders!G$13:G$62,MATCH(79-COUNTIFS('New Tooling Jobs'!A$13:A$62,"&lt;&gt;",'New Tooling Jobs'!E$13:E$62,"&lt;&gt;Completed"),Reorders!AC$13:AC$62,0))),"")</f>
        <v/>
      </c>
      <c r="F88" s="40">
        <f>IFERROR(IF(79&lt;=COUNTIFS('New Tooling Jobs'!A$13:A$62,"&lt;&gt;",'New Tooling Jobs'!E$13:E$62,"&lt;&gt;Completed"),INDEX('New Tooling Jobs'!H$13:H$62,MATCH(79,'New Tooling Jobs'!AG$13:AG$62,0)),INDEX(Reorders!H$13:H$62,MATCH(79-COUNTIFS('New Tooling Jobs'!A$13:A$62,"&lt;&gt;",'New Tooling Jobs'!E$13:E$62,"&lt;&gt;Completed"),Reorders!AC$13:AC$62,0))),"")</f>
        <v/>
      </c>
      <c r="G88" s="41">
        <f>IFERROR(IF(79&lt;=COUNTIFS('New Tooling Jobs'!A$13:A$62,"&lt;&gt;",'New Tooling Jobs'!E$13:E$62,"&lt;&gt;Completed"),INDEX('New Tooling Jobs'!I$13:I$62,MATCH(79,'New Tooling Jobs'!AG$13:AG$62,0)),INDEX(Reorders!I$13:I$62,MATCH(79-COUNTIFS('New Tooling Jobs'!A$13:A$62,"&lt;&gt;",'New Tooling Jobs'!E$13:E$62,"&lt;&gt;Completed"),Reorders!AC$13:AC$62,0))),"")</f>
        <v/>
      </c>
    </row>
    <row r="89" ht="15" customHeight="1" s="25">
      <c r="A89" s="40">
        <f>IFERROR(IF(80&lt;=COUNTIFS('New Tooling Jobs'!A$13:A$62,"&lt;&gt;",'New Tooling Jobs'!E$13:E$62,"&lt;&gt;Completed"),INDEX('New Tooling Jobs'!A$13:A$62,MATCH(80,'New Tooling Jobs'!AG$13:AG$62,0)),INDEX(Reorders!A$13:A$62,MATCH(80-COUNTIFS('New Tooling Jobs'!A$13:A$62,"&lt;&gt;",'New Tooling Jobs'!E$13:E$62,"&lt;&gt;Completed"),Reorders!AC$13:AC$62,0))),"")</f>
        <v/>
      </c>
      <c r="B89" s="40">
        <f>IFERROR(IF(80&lt;=COUNTIFS('New Tooling Jobs'!A$13:A$62,"&lt;&gt;",'New Tooling Jobs'!E$13:E$62,"&lt;&gt;Completed"),IF(INDEX('New Tooling Jobs'!A$13:A$62,MATCH(80,'New Tooling Jobs'!AG$13:AG$62,0))&lt;&gt;"","New Tooling",""),IF(INDEX(Reorders!A$13:A$62,MATCH(80-COUNTIFS('New Tooling Jobs'!A$13:A$62,"&lt;&gt;",'New Tooling Jobs'!E$13:E$62,"&lt;&gt;Completed"),Reorders!AC$13:AC$62,0))&lt;&gt;"","Reorder","")),"")</f>
        <v/>
      </c>
      <c r="C89" s="41">
        <f>IFERROR(IF(80&lt;=COUNTIFS('New Tooling Jobs'!A$13:A$62,"&lt;&gt;",'New Tooling Jobs'!E$13:E$62,"&lt;&gt;Completed"),INDEX('New Tooling Jobs'!B$13:B$62,MATCH(80,'New Tooling Jobs'!AG$13:AG$62,0)),INDEX(Reorders!B$13:B$62,MATCH(80-COUNTIFS('New Tooling Jobs'!A$13:A$62,"&lt;&gt;",'New Tooling Jobs'!E$13:E$62,"&lt;&gt;Completed"),Reorders!AC$13:AC$62,0))),"")</f>
        <v/>
      </c>
      <c r="D89" s="41">
        <f>IFERROR(IF(80&lt;=COUNTIFS('New Tooling Jobs'!A$13:A$62,"&lt;&gt;",'New Tooling Jobs'!E$13:E$62,"&lt;&gt;Completed"),INDEX('New Tooling Jobs'!E$13:E$62,MATCH(80,'New Tooling Jobs'!AG$13:AG$62,0)),INDEX(Reorders!E$13:E$62,MATCH(80-COUNTIFS('New Tooling Jobs'!A$13:A$62,"&lt;&gt;",'New Tooling Jobs'!E$13:E$62,"&lt;&gt;Completed"),Reorders!AC$13:AC$62,0))),"")</f>
        <v/>
      </c>
      <c r="E89" s="40">
        <f>IFERROR(IF(80&lt;=COUNTIFS('New Tooling Jobs'!A$13:A$62,"&lt;&gt;",'New Tooling Jobs'!E$13:E$62,"&lt;&gt;Completed"),INDEX('New Tooling Jobs'!G$13:G$62,MATCH(80,'New Tooling Jobs'!AG$13:AG$62,0)),INDEX(Reorders!G$13:G$62,MATCH(80-COUNTIFS('New Tooling Jobs'!A$13:A$62,"&lt;&gt;",'New Tooling Jobs'!E$13:E$62,"&lt;&gt;Completed"),Reorders!AC$13:AC$62,0))),"")</f>
        <v/>
      </c>
      <c r="F89" s="40">
        <f>IFERROR(IF(80&lt;=COUNTIFS('New Tooling Jobs'!A$13:A$62,"&lt;&gt;",'New Tooling Jobs'!E$13:E$62,"&lt;&gt;Completed"),INDEX('New Tooling Jobs'!H$13:H$62,MATCH(80,'New Tooling Jobs'!AG$13:AG$62,0)),INDEX(Reorders!H$13:H$62,MATCH(80-COUNTIFS('New Tooling Jobs'!A$13:A$62,"&lt;&gt;",'New Tooling Jobs'!E$13:E$62,"&lt;&gt;Completed"),Reorders!AC$13:AC$62,0))),"")</f>
        <v/>
      </c>
      <c r="G89" s="41">
        <f>IFERROR(IF(80&lt;=COUNTIFS('New Tooling Jobs'!A$13:A$62,"&lt;&gt;",'New Tooling Jobs'!E$13:E$62,"&lt;&gt;Completed"),INDEX('New Tooling Jobs'!I$13:I$62,MATCH(80,'New Tooling Jobs'!AG$13:AG$62,0)),INDEX(Reorders!I$13:I$62,MATCH(80-COUNTIFS('New Tooling Jobs'!A$13:A$62,"&lt;&gt;",'New Tooling Jobs'!E$13:E$62,"&lt;&gt;Completed"),Reorders!AC$13:AC$62,0))),"")</f>
        <v/>
      </c>
    </row>
    <row r="90" ht="15" customHeight="1" s="25">
      <c r="A90" s="40">
        <f>IFERROR(IF(81&lt;=COUNTIFS('New Tooling Jobs'!A$13:A$62,"&lt;&gt;",'New Tooling Jobs'!E$13:E$62,"&lt;&gt;Completed"),INDEX('New Tooling Jobs'!A$13:A$62,MATCH(81,'New Tooling Jobs'!AG$13:AG$62,0)),INDEX(Reorders!A$13:A$62,MATCH(81-COUNTIFS('New Tooling Jobs'!A$13:A$62,"&lt;&gt;",'New Tooling Jobs'!E$13:E$62,"&lt;&gt;Completed"),Reorders!AC$13:AC$62,0))),"")</f>
        <v/>
      </c>
      <c r="B90" s="40">
        <f>IFERROR(IF(81&lt;=COUNTIFS('New Tooling Jobs'!A$13:A$62,"&lt;&gt;",'New Tooling Jobs'!E$13:E$62,"&lt;&gt;Completed"),IF(INDEX('New Tooling Jobs'!A$13:A$62,MATCH(81,'New Tooling Jobs'!AG$13:AG$62,0))&lt;&gt;"","New Tooling",""),IF(INDEX(Reorders!A$13:A$62,MATCH(81-COUNTIFS('New Tooling Jobs'!A$13:A$62,"&lt;&gt;",'New Tooling Jobs'!E$13:E$62,"&lt;&gt;Completed"),Reorders!AC$13:AC$62,0))&lt;&gt;"","Reorder","")),"")</f>
        <v/>
      </c>
      <c r="C90" s="41">
        <f>IFERROR(IF(81&lt;=COUNTIFS('New Tooling Jobs'!A$13:A$62,"&lt;&gt;",'New Tooling Jobs'!E$13:E$62,"&lt;&gt;Completed"),INDEX('New Tooling Jobs'!B$13:B$62,MATCH(81,'New Tooling Jobs'!AG$13:AG$62,0)),INDEX(Reorders!B$13:B$62,MATCH(81-COUNTIFS('New Tooling Jobs'!A$13:A$62,"&lt;&gt;",'New Tooling Jobs'!E$13:E$62,"&lt;&gt;Completed"),Reorders!AC$13:AC$62,0))),"")</f>
        <v/>
      </c>
      <c r="D90" s="41">
        <f>IFERROR(IF(81&lt;=COUNTIFS('New Tooling Jobs'!A$13:A$62,"&lt;&gt;",'New Tooling Jobs'!E$13:E$62,"&lt;&gt;Completed"),INDEX('New Tooling Jobs'!E$13:E$62,MATCH(81,'New Tooling Jobs'!AG$13:AG$62,0)),INDEX(Reorders!E$13:E$62,MATCH(81-COUNTIFS('New Tooling Jobs'!A$13:A$62,"&lt;&gt;",'New Tooling Jobs'!E$13:E$62,"&lt;&gt;Completed"),Reorders!AC$13:AC$62,0))),"")</f>
        <v/>
      </c>
      <c r="E90" s="40">
        <f>IFERROR(IF(81&lt;=COUNTIFS('New Tooling Jobs'!A$13:A$62,"&lt;&gt;",'New Tooling Jobs'!E$13:E$62,"&lt;&gt;Completed"),INDEX('New Tooling Jobs'!G$13:G$62,MATCH(81,'New Tooling Jobs'!AG$13:AG$62,0)),INDEX(Reorders!G$13:G$62,MATCH(81-COUNTIFS('New Tooling Jobs'!A$13:A$62,"&lt;&gt;",'New Tooling Jobs'!E$13:E$62,"&lt;&gt;Completed"),Reorders!AC$13:AC$62,0))),"")</f>
        <v/>
      </c>
      <c r="F90" s="40">
        <f>IFERROR(IF(81&lt;=COUNTIFS('New Tooling Jobs'!A$13:A$62,"&lt;&gt;",'New Tooling Jobs'!E$13:E$62,"&lt;&gt;Completed"),INDEX('New Tooling Jobs'!H$13:H$62,MATCH(81,'New Tooling Jobs'!AG$13:AG$62,0)),INDEX(Reorders!H$13:H$62,MATCH(81-COUNTIFS('New Tooling Jobs'!A$13:A$62,"&lt;&gt;",'New Tooling Jobs'!E$13:E$62,"&lt;&gt;Completed"),Reorders!AC$13:AC$62,0))),"")</f>
        <v/>
      </c>
      <c r="G90" s="41">
        <f>IFERROR(IF(81&lt;=COUNTIFS('New Tooling Jobs'!A$13:A$62,"&lt;&gt;",'New Tooling Jobs'!E$13:E$62,"&lt;&gt;Completed"),INDEX('New Tooling Jobs'!I$13:I$62,MATCH(81,'New Tooling Jobs'!AG$13:AG$62,0)),INDEX(Reorders!I$13:I$62,MATCH(81-COUNTIFS('New Tooling Jobs'!A$13:A$62,"&lt;&gt;",'New Tooling Jobs'!E$13:E$62,"&lt;&gt;Completed"),Reorders!AC$13:AC$62,0))),"")</f>
        <v/>
      </c>
    </row>
    <row r="91" ht="15" customHeight="1" s="25">
      <c r="A91" s="40">
        <f>IFERROR(IF(82&lt;=COUNTIFS('New Tooling Jobs'!A$13:A$62,"&lt;&gt;",'New Tooling Jobs'!E$13:E$62,"&lt;&gt;Completed"),INDEX('New Tooling Jobs'!A$13:A$62,MATCH(82,'New Tooling Jobs'!AG$13:AG$62,0)),INDEX(Reorders!A$13:A$62,MATCH(82-COUNTIFS('New Tooling Jobs'!A$13:A$62,"&lt;&gt;",'New Tooling Jobs'!E$13:E$62,"&lt;&gt;Completed"),Reorders!AC$13:AC$62,0))),"")</f>
        <v/>
      </c>
      <c r="B91" s="40">
        <f>IFERROR(IF(82&lt;=COUNTIFS('New Tooling Jobs'!A$13:A$62,"&lt;&gt;",'New Tooling Jobs'!E$13:E$62,"&lt;&gt;Completed"),IF(INDEX('New Tooling Jobs'!A$13:A$62,MATCH(82,'New Tooling Jobs'!AG$13:AG$62,0))&lt;&gt;"","New Tooling",""),IF(INDEX(Reorders!A$13:A$62,MATCH(82-COUNTIFS('New Tooling Jobs'!A$13:A$62,"&lt;&gt;",'New Tooling Jobs'!E$13:E$62,"&lt;&gt;Completed"),Reorders!AC$13:AC$62,0))&lt;&gt;"","Reorder","")),"")</f>
        <v/>
      </c>
      <c r="C91" s="41">
        <f>IFERROR(IF(82&lt;=COUNTIFS('New Tooling Jobs'!A$13:A$62,"&lt;&gt;",'New Tooling Jobs'!E$13:E$62,"&lt;&gt;Completed"),INDEX('New Tooling Jobs'!B$13:B$62,MATCH(82,'New Tooling Jobs'!AG$13:AG$62,0)),INDEX(Reorders!B$13:B$62,MATCH(82-COUNTIFS('New Tooling Jobs'!A$13:A$62,"&lt;&gt;",'New Tooling Jobs'!E$13:E$62,"&lt;&gt;Completed"),Reorders!AC$13:AC$62,0))),"")</f>
        <v/>
      </c>
      <c r="D91" s="41">
        <f>IFERROR(IF(82&lt;=COUNTIFS('New Tooling Jobs'!A$13:A$62,"&lt;&gt;",'New Tooling Jobs'!E$13:E$62,"&lt;&gt;Completed"),INDEX('New Tooling Jobs'!E$13:E$62,MATCH(82,'New Tooling Jobs'!AG$13:AG$62,0)),INDEX(Reorders!E$13:E$62,MATCH(82-COUNTIFS('New Tooling Jobs'!A$13:A$62,"&lt;&gt;",'New Tooling Jobs'!E$13:E$62,"&lt;&gt;Completed"),Reorders!AC$13:AC$62,0))),"")</f>
        <v/>
      </c>
      <c r="E91" s="40">
        <f>IFERROR(IF(82&lt;=COUNTIFS('New Tooling Jobs'!A$13:A$62,"&lt;&gt;",'New Tooling Jobs'!E$13:E$62,"&lt;&gt;Completed"),INDEX('New Tooling Jobs'!G$13:G$62,MATCH(82,'New Tooling Jobs'!AG$13:AG$62,0)),INDEX(Reorders!G$13:G$62,MATCH(82-COUNTIFS('New Tooling Jobs'!A$13:A$62,"&lt;&gt;",'New Tooling Jobs'!E$13:E$62,"&lt;&gt;Completed"),Reorders!AC$13:AC$62,0))),"")</f>
        <v/>
      </c>
      <c r="F91" s="40">
        <f>IFERROR(IF(82&lt;=COUNTIFS('New Tooling Jobs'!A$13:A$62,"&lt;&gt;",'New Tooling Jobs'!E$13:E$62,"&lt;&gt;Completed"),INDEX('New Tooling Jobs'!H$13:H$62,MATCH(82,'New Tooling Jobs'!AG$13:AG$62,0)),INDEX(Reorders!H$13:H$62,MATCH(82-COUNTIFS('New Tooling Jobs'!A$13:A$62,"&lt;&gt;",'New Tooling Jobs'!E$13:E$62,"&lt;&gt;Completed"),Reorders!AC$13:AC$62,0))),"")</f>
        <v/>
      </c>
      <c r="G91" s="41">
        <f>IFERROR(IF(82&lt;=COUNTIFS('New Tooling Jobs'!A$13:A$62,"&lt;&gt;",'New Tooling Jobs'!E$13:E$62,"&lt;&gt;Completed"),INDEX('New Tooling Jobs'!I$13:I$62,MATCH(82,'New Tooling Jobs'!AG$13:AG$62,0)),INDEX(Reorders!I$13:I$62,MATCH(82-COUNTIFS('New Tooling Jobs'!A$13:A$62,"&lt;&gt;",'New Tooling Jobs'!E$13:E$62,"&lt;&gt;Completed"),Reorders!AC$13:AC$62,0))),"")</f>
        <v/>
      </c>
    </row>
    <row r="92" ht="15" customHeight="1" s="25">
      <c r="A92" s="40">
        <f>IFERROR(IF(83&lt;=COUNTIFS('New Tooling Jobs'!A$13:A$62,"&lt;&gt;",'New Tooling Jobs'!E$13:E$62,"&lt;&gt;Completed"),INDEX('New Tooling Jobs'!A$13:A$62,MATCH(83,'New Tooling Jobs'!AG$13:AG$62,0)),INDEX(Reorders!A$13:A$62,MATCH(83-COUNTIFS('New Tooling Jobs'!A$13:A$62,"&lt;&gt;",'New Tooling Jobs'!E$13:E$62,"&lt;&gt;Completed"),Reorders!AC$13:AC$62,0))),"")</f>
        <v/>
      </c>
      <c r="B92" s="40">
        <f>IFERROR(IF(83&lt;=COUNTIFS('New Tooling Jobs'!A$13:A$62,"&lt;&gt;",'New Tooling Jobs'!E$13:E$62,"&lt;&gt;Completed"),IF(INDEX('New Tooling Jobs'!A$13:A$62,MATCH(83,'New Tooling Jobs'!AG$13:AG$62,0))&lt;&gt;"","New Tooling",""),IF(INDEX(Reorders!A$13:A$62,MATCH(83-COUNTIFS('New Tooling Jobs'!A$13:A$62,"&lt;&gt;",'New Tooling Jobs'!E$13:E$62,"&lt;&gt;Completed"),Reorders!AC$13:AC$62,0))&lt;&gt;"","Reorder","")),"")</f>
        <v/>
      </c>
      <c r="C92" s="41">
        <f>IFERROR(IF(83&lt;=COUNTIFS('New Tooling Jobs'!A$13:A$62,"&lt;&gt;",'New Tooling Jobs'!E$13:E$62,"&lt;&gt;Completed"),INDEX('New Tooling Jobs'!B$13:B$62,MATCH(83,'New Tooling Jobs'!AG$13:AG$62,0)),INDEX(Reorders!B$13:B$62,MATCH(83-COUNTIFS('New Tooling Jobs'!A$13:A$62,"&lt;&gt;",'New Tooling Jobs'!E$13:E$62,"&lt;&gt;Completed"),Reorders!AC$13:AC$62,0))),"")</f>
        <v/>
      </c>
      <c r="D92" s="41">
        <f>IFERROR(IF(83&lt;=COUNTIFS('New Tooling Jobs'!A$13:A$62,"&lt;&gt;",'New Tooling Jobs'!E$13:E$62,"&lt;&gt;Completed"),INDEX('New Tooling Jobs'!E$13:E$62,MATCH(83,'New Tooling Jobs'!AG$13:AG$62,0)),INDEX(Reorders!E$13:E$62,MATCH(83-COUNTIFS('New Tooling Jobs'!A$13:A$62,"&lt;&gt;",'New Tooling Jobs'!E$13:E$62,"&lt;&gt;Completed"),Reorders!AC$13:AC$62,0))),"")</f>
        <v/>
      </c>
      <c r="E92" s="40">
        <f>IFERROR(IF(83&lt;=COUNTIFS('New Tooling Jobs'!A$13:A$62,"&lt;&gt;",'New Tooling Jobs'!E$13:E$62,"&lt;&gt;Completed"),INDEX('New Tooling Jobs'!G$13:G$62,MATCH(83,'New Tooling Jobs'!AG$13:AG$62,0)),INDEX(Reorders!G$13:G$62,MATCH(83-COUNTIFS('New Tooling Jobs'!A$13:A$62,"&lt;&gt;",'New Tooling Jobs'!E$13:E$62,"&lt;&gt;Completed"),Reorders!AC$13:AC$62,0))),"")</f>
        <v/>
      </c>
      <c r="F92" s="40">
        <f>IFERROR(IF(83&lt;=COUNTIFS('New Tooling Jobs'!A$13:A$62,"&lt;&gt;",'New Tooling Jobs'!E$13:E$62,"&lt;&gt;Completed"),INDEX('New Tooling Jobs'!H$13:H$62,MATCH(83,'New Tooling Jobs'!AG$13:AG$62,0)),INDEX(Reorders!H$13:H$62,MATCH(83-COUNTIFS('New Tooling Jobs'!A$13:A$62,"&lt;&gt;",'New Tooling Jobs'!E$13:E$62,"&lt;&gt;Completed"),Reorders!AC$13:AC$62,0))),"")</f>
        <v/>
      </c>
      <c r="G92" s="41">
        <f>IFERROR(IF(83&lt;=COUNTIFS('New Tooling Jobs'!A$13:A$62,"&lt;&gt;",'New Tooling Jobs'!E$13:E$62,"&lt;&gt;Completed"),INDEX('New Tooling Jobs'!I$13:I$62,MATCH(83,'New Tooling Jobs'!AG$13:AG$62,0)),INDEX(Reorders!I$13:I$62,MATCH(83-COUNTIFS('New Tooling Jobs'!A$13:A$62,"&lt;&gt;",'New Tooling Jobs'!E$13:E$62,"&lt;&gt;Completed"),Reorders!AC$13:AC$62,0))),"")</f>
        <v/>
      </c>
    </row>
    <row r="93" ht="15" customHeight="1" s="25">
      <c r="A93" s="40">
        <f>IFERROR(IF(84&lt;=COUNTIFS('New Tooling Jobs'!A$13:A$62,"&lt;&gt;",'New Tooling Jobs'!E$13:E$62,"&lt;&gt;Completed"),INDEX('New Tooling Jobs'!A$13:A$62,MATCH(84,'New Tooling Jobs'!AG$13:AG$62,0)),INDEX(Reorders!A$13:A$62,MATCH(84-COUNTIFS('New Tooling Jobs'!A$13:A$62,"&lt;&gt;",'New Tooling Jobs'!E$13:E$62,"&lt;&gt;Completed"),Reorders!AC$13:AC$62,0))),"")</f>
        <v/>
      </c>
      <c r="B93" s="40">
        <f>IFERROR(IF(84&lt;=COUNTIFS('New Tooling Jobs'!A$13:A$62,"&lt;&gt;",'New Tooling Jobs'!E$13:E$62,"&lt;&gt;Completed"),IF(INDEX('New Tooling Jobs'!A$13:A$62,MATCH(84,'New Tooling Jobs'!AG$13:AG$62,0))&lt;&gt;"","New Tooling",""),IF(INDEX(Reorders!A$13:A$62,MATCH(84-COUNTIFS('New Tooling Jobs'!A$13:A$62,"&lt;&gt;",'New Tooling Jobs'!E$13:E$62,"&lt;&gt;Completed"),Reorders!AC$13:AC$62,0))&lt;&gt;"","Reorder","")),"")</f>
        <v/>
      </c>
      <c r="C93" s="41">
        <f>IFERROR(IF(84&lt;=COUNTIFS('New Tooling Jobs'!A$13:A$62,"&lt;&gt;",'New Tooling Jobs'!E$13:E$62,"&lt;&gt;Completed"),INDEX('New Tooling Jobs'!B$13:B$62,MATCH(84,'New Tooling Jobs'!AG$13:AG$62,0)),INDEX(Reorders!B$13:B$62,MATCH(84-COUNTIFS('New Tooling Jobs'!A$13:A$62,"&lt;&gt;",'New Tooling Jobs'!E$13:E$62,"&lt;&gt;Completed"),Reorders!AC$13:AC$62,0))),"")</f>
        <v/>
      </c>
      <c r="D93" s="41">
        <f>IFERROR(IF(84&lt;=COUNTIFS('New Tooling Jobs'!A$13:A$62,"&lt;&gt;",'New Tooling Jobs'!E$13:E$62,"&lt;&gt;Completed"),INDEX('New Tooling Jobs'!E$13:E$62,MATCH(84,'New Tooling Jobs'!AG$13:AG$62,0)),INDEX(Reorders!E$13:E$62,MATCH(84-COUNTIFS('New Tooling Jobs'!A$13:A$62,"&lt;&gt;",'New Tooling Jobs'!E$13:E$62,"&lt;&gt;Completed"),Reorders!AC$13:AC$62,0))),"")</f>
        <v/>
      </c>
      <c r="E93" s="40">
        <f>IFERROR(IF(84&lt;=COUNTIFS('New Tooling Jobs'!A$13:A$62,"&lt;&gt;",'New Tooling Jobs'!E$13:E$62,"&lt;&gt;Completed"),INDEX('New Tooling Jobs'!G$13:G$62,MATCH(84,'New Tooling Jobs'!AG$13:AG$62,0)),INDEX(Reorders!G$13:G$62,MATCH(84-COUNTIFS('New Tooling Jobs'!A$13:A$62,"&lt;&gt;",'New Tooling Jobs'!E$13:E$62,"&lt;&gt;Completed"),Reorders!AC$13:AC$62,0))),"")</f>
        <v/>
      </c>
      <c r="F93" s="40">
        <f>IFERROR(IF(84&lt;=COUNTIFS('New Tooling Jobs'!A$13:A$62,"&lt;&gt;",'New Tooling Jobs'!E$13:E$62,"&lt;&gt;Completed"),INDEX('New Tooling Jobs'!H$13:H$62,MATCH(84,'New Tooling Jobs'!AG$13:AG$62,0)),INDEX(Reorders!H$13:H$62,MATCH(84-COUNTIFS('New Tooling Jobs'!A$13:A$62,"&lt;&gt;",'New Tooling Jobs'!E$13:E$62,"&lt;&gt;Completed"),Reorders!AC$13:AC$62,0))),"")</f>
        <v/>
      </c>
      <c r="G93" s="41">
        <f>IFERROR(IF(84&lt;=COUNTIFS('New Tooling Jobs'!A$13:A$62,"&lt;&gt;",'New Tooling Jobs'!E$13:E$62,"&lt;&gt;Completed"),INDEX('New Tooling Jobs'!I$13:I$62,MATCH(84,'New Tooling Jobs'!AG$13:AG$62,0)),INDEX(Reorders!I$13:I$62,MATCH(84-COUNTIFS('New Tooling Jobs'!A$13:A$62,"&lt;&gt;",'New Tooling Jobs'!E$13:E$62,"&lt;&gt;Completed"),Reorders!AC$13:AC$62,0))),"")</f>
        <v/>
      </c>
    </row>
    <row r="94" ht="15" customHeight="1" s="25">
      <c r="A94" s="40">
        <f>IFERROR(IF(85&lt;=COUNTIFS('New Tooling Jobs'!A$13:A$62,"&lt;&gt;",'New Tooling Jobs'!E$13:E$62,"&lt;&gt;Completed"),INDEX('New Tooling Jobs'!A$13:A$62,MATCH(85,'New Tooling Jobs'!AG$13:AG$62,0)),INDEX(Reorders!A$13:A$62,MATCH(85-COUNTIFS('New Tooling Jobs'!A$13:A$62,"&lt;&gt;",'New Tooling Jobs'!E$13:E$62,"&lt;&gt;Completed"),Reorders!AC$13:AC$62,0))),"")</f>
        <v/>
      </c>
      <c r="B94" s="40">
        <f>IFERROR(IF(85&lt;=COUNTIFS('New Tooling Jobs'!A$13:A$62,"&lt;&gt;",'New Tooling Jobs'!E$13:E$62,"&lt;&gt;Completed"),IF(INDEX('New Tooling Jobs'!A$13:A$62,MATCH(85,'New Tooling Jobs'!AG$13:AG$62,0))&lt;&gt;"","New Tooling",""),IF(INDEX(Reorders!A$13:A$62,MATCH(85-COUNTIFS('New Tooling Jobs'!A$13:A$62,"&lt;&gt;",'New Tooling Jobs'!E$13:E$62,"&lt;&gt;Completed"),Reorders!AC$13:AC$62,0))&lt;&gt;"","Reorder","")),"")</f>
        <v/>
      </c>
      <c r="C94" s="41">
        <f>IFERROR(IF(85&lt;=COUNTIFS('New Tooling Jobs'!A$13:A$62,"&lt;&gt;",'New Tooling Jobs'!E$13:E$62,"&lt;&gt;Completed"),INDEX('New Tooling Jobs'!B$13:B$62,MATCH(85,'New Tooling Jobs'!AG$13:AG$62,0)),INDEX(Reorders!B$13:B$62,MATCH(85-COUNTIFS('New Tooling Jobs'!A$13:A$62,"&lt;&gt;",'New Tooling Jobs'!E$13:E$62,"&lt;&gt;Completed"),Reorders!AC$13:AC$62,0))),"")</f>
        <v/>
      </c>
      <c r="D94" s="41">
        <f>IFERROR(IF(85&lt;=COUNTIFS('New Tooling Jobs'!A$13:A$62,"&lt;&gt;",'New Tooling Jobs'!E$13:E$62,"&lt;&gt;Completed"),INDEX('New Tooling Jobs'!E$13:E$62,MATCH(85,'New Tooling Jobs'!AG$13:AG$62,0)),INDEX(Reorders!E$13:E$62,MATCH(85-COUNTIFS('New Tooling Jobs'!A$13:A$62,"&lt;&gt;",'New Tooling Jobs'!E$13:E$62,"&lt;&gt;Completed"),Reorders!AC$13:AC$62,0))),"")</f>
        <v/>
      </c>
      <c r="E94" s="40">
        <f>IFERROR(IF(85&lt;=COUNTIFS('New Tooling Jobs'!A$13:A$62,"&lt;&gt;",'New Tooling Jobs'!E$13:E$62,"&lt;&gt;Completed"),INDEX('New Tooling Jobs'!G$13:G$62,MATCH(85,'New Tooling Jobs'!AG$13:AG$62,0)),INDEX(Reorders!G$13:G$62,MATCH(85-COUNTIFS('New Tooling Jobs'!A$13:A$62,"&lt;&gt;",'New Tooling Jobs'!E$13:E$62,"&lt;&gt;Completed"),Reorders!AC$13:AC$62,0))),"")</f>
        <v/>
      </c>
      <c r="F94" s="40">
        <f>IFERROR(IF(85&lt;=COUNTIFS('New Tooling Jobs'!A$13:A$62,"&lt;&gt;",'New Tooling Jobs'!E$13:E$62,"&lt;&gt;Completed"),INDEX('New Tooling Jobs'!H$13:H$62,MATCH(85,'New Tooling Jobs'!AG$13:AG$62,0)),INDEX(Reorders!H$13:H$62,MATCH(85-COUNTIFS('New Tooling Jobs'!A$13:A$62,"&lt;&gt;",'New Tooling Jobs'!E$13:E$62,"&lt;&gt;Completed"),Reorders!AC$13:AC$62,0))),"")</f>
        <v/>
      </c>
      <c r="G94" s="41">
        <f>IFERROR(IF(85&lt;=COUNTIFS('New Tooling Jobs'!A$13:A$62,"&lt;&gt;",'New Tooling Jobs'!E$13:E$62,"&lt;&gt;Completed"),INDEX('New Tooling Jobs'!I$13:I$62,MATCH(85,'New Tooling Jobs'!AG$13:AG$62,0)),INDEX(Reorders!I$13:I$62,MATCH(85-COUNTIFS('New Tooling Jobs'!A$13:A$62,"&lt;&gt;",'New Tooling Jobs'!E$13:E$62,"&lt;&gt;Completed"),Reorders!AC$13:AC$62,0))),"")</f>
        <v/>
      </c>
    </row>
    <row r="95" ht="15" customHeight="1" s="25">
      <c r="A95" s="40">
        <f>IFERROR(IF(86&lt;=COUNTIFS('New Tooling Jobs'!A$13:A$62,"&lt;&gt;",'New Tooling Jobs'!E$13:E$62,"&lt;&gt;Completed"),INDEX('New Tooling Jobs'!A$13:A$62,MATCH(86,'New Tooling Jobs'!AG$13:AG$62,0)),INDEX(Reorders!A$13:A$62,MATCH(86-COUNTIFS('New Tooling Jobs'!A$13:A$62,"&lt;&gt;",'New Tooling Jobs'!E$13:E$62,"&lt;&gt;Completed"),Reorders!AC$13:AC$62,0))),"")</f>
        <v/>
      </c>
      <c r="B95" s="40">
        <f>IFERROR(IF(86&lt;=COUNTIFS('New Tooling Jobs'!A$13:A$62,"&lt;&gt;",'New Tooling Jobs'!E$13:E$62,"&lt;&gt;Completed"),IF(INDEX('New Tooling Jobs'!A$13:A$62,MATCH(86,'New Tooling Jobs'!AG$13:AG$62,0))&lt;&gt;"","New Tooling",""),IF(INDEX(Reorders!A$13:A$62,MATCH(86-COUNTIFS('New Tooling Jobs'!A$13:A$62,"&lt;&gt;",'New Tooling Jobs'!E$13:E$62,"&lt;&gt;Completed"),Reorders!AC$13:AC$62,0))&lt;&gt;"","Reorder","")),"")</f>
        <v/>
      </c>
      <c r="C95" s="41">
        <f>IFERROR(IF(86&lt;=COUNTIFS('New Tooling Jobs'!A$13:A$62,"&lt;&gt;",'New Tooling Jobs'!E$13:E$62,"&lt;&gt;Completed"),INDEX('New Tooling Jobs'!B$13:B$62,MATCH(86,'New Tooling Jobs'!AG$13:AG$62,0)),INDEX(Reorders!B$13:B$62,MATCH(86-COUNTIFS('New Tooling Jobs'!A$13:A$62,"&lt;&gt;",'New Tooling Jobs'!E$13:E$62,"&lt;&gt;Completed"),Reorders!AC$13:AC$62,0))),"")</f>
        <v/>
      </c>
      <c r="D95" s="41">
        <f>IFERROR(IF(86&lt;=COUNTIFS('New Tooling Jobs'!A$13:A$62,"&lt;&gt;",'New Tooling Jobs'!E$13:E$62,"&lt;&gt;Completed"),INDEX('New Tooling Jobs'!E$13:E$62,MATCH(86,'New Tooling Jobs'!AG$13:AG$62,0)),INDEX(Reorders!E$13:E$62,MATCH(86-COUNTIFS('New Tooling Jobs'!A$13:A$62,"&lt;&gt;",'New Tooling Jobs'!E$13:E$62,"&lt;&gt;Completed"),Reorders!AC$13:AC$62,0))),"")</f>
        <v/>
      </c>
      <c r="E95" s="40">
        <f>IFERROR(IF(86&lt;=COUNTIFS('New Tooling Jobs'!A$13:A$62,"&lt;&gt;",'New Tooling Jobs'!E$13:E$62,"&lt;&gt;Completed"),INDEX('New Tooling Jobs'!G$13:G$62,MATCH(86,'New Tooling Jobs'!AG$13:AG$62,0)),INDEX(Reorders!G$13:G$62,MATCH(86-COUNTIFS('New Tooling Jobs'!A$13:A$62,"&lt;&gt;",'New Tooling Jobs'!E$13:E$62,"&lt;&gt;Completed"),Reorders!AC$13:AC$62,0))),"")</f>
        <v/>
      </c>
      <c r="F95" s="40">
        <f>IFERROR(IF(86&lt;=COUNTIFS('New Tooling Jobs'!A$13:A$62,"&lt;&gt;",'New Tooling Jobs'!E$13:E$62,"&lt;&gt;Completed"),INDEX('New Tooling Jobs'!H$13:H$62,MATCH(86,'New Tooling Jobs'!AG$13:AG$62,0)),INDEX(Reorders!H$13:H$62,MATCH(86-COUNTIFS('New Tooling Jobs'!A$13:A$62,"&lt;&gt;",'New Tooling Jobs'!E$13:E$62,"&lt;&gt;Completed"),Reorders!AC$13:AC$62,0))),"")</f>
        <v/>
      </c>
      <c r="G95" s="41">
        <f>IFERROR(IF(86&lt;=COUNTIFS('New Tooling Jobs'!A$13:A$62,"&lt;&gt;",'New Tooling Jobs'!E$13:E$62,"&lt;&gt;Completed"),INDEX('New Tooling Jobs'!I$13:I$62,MATCH(86,'New Tooling Jobs'!AG$13:AG$62,0)),INDEX(Reorders!I$13:I$62,MATCH(86-COUNTIFS('New Tooling Jobs'!A$13:A$62,"&lt;&gt;",'New Tooling Jobs'!E$13:E$62,"&lt;&gt;Completed"),Reorders!AC$13:AC$62,0))),"")</f>
        <v/>
      </c>
    </row>
    <row r="96" ht="15" customHeight="1" s="25">
      <c r="A96" s="40">
        <f>IFERROR(IF(87&lt;=COUNTIFS('New Tooling Jobs'!A$13:A$62,"&lt;&gt;",'New Tooling Jobs'!E$13:E$62,"&lt;&gt;Completed"),INDEX('New Tooling Jobs'!A$13:A$62,MATCH(87,'New Tooling Jobs'!AG$13:AG$62,0)),INDEX(Reorders!A$13:A$62,MATCH(87-COUNTIFS('New Tooling Jobs'!A$13:A$62,"&lt;&gt;",'New Tooling Jobs'!E$13:E$62,"&lt;&gt;Completed"),Reorders!AC$13:AC$62,0))),"")</f>
        <v/>
      </c>
      <c r="B96" s="40">
        <f>IFERROR(IF(87&lt;=COUNTIFS('New Tooling Jobs'!A$13:A$62,"&lt;&gt;",'New Tooling Jobs'!E$13:E$62,"&lt;&gt;Completed"),IF(INDEX('New Tooling Jobs'!A$13:A$62,MATCH(87,'New Tooling Jobs'!AG$13:AG$62,0))&lt;&gt;"","New Tooling",""),IF(INDEX(Reorders!A$13:A$62,MATCH(87-COUNTIFS('New Tooling Jobs'!A$13:A$62,"&lt;&gt;",'New Tooling Jobs'!E$13:E$62,"&lt;&gt;Completed"),Reorders!AC$13:AC$62,0))&lt;&gt;"","Reorder","")),"")</f>
        <v/>
      </c>
      <c r="C96" s="41">
        <f>IFERROR(IF(87&lt;=COUNTIFS('New Tooling Jobs'!A$13:A$62,"&lt;&gt;",'New Tooling Jobs'!E$13:E$62,"&lt;&gt;Completed"),INDEX('New Tooling Jobs'!B$13:B$62,MATCH(87,'New Tooling Jobs'!AG$13:AG$62,0)),INDEX(Reorders!B$13:B$62,MATCH(87-COUNTIFS('New Tooling Jobs'!A$13:A$62,"&lt;&gt;",'New Tooling Jobs'!E$13:E$62,"&lt;&gt;Completed"),Reorders!AC$13:AC$62,0))),"")</f>
        <v/>
      </c>
      <c r="D96" s="41">
        <f>IFERROR(IF(87&lt;=COUNTIFS('New Tooling Jobs'!A$13:A$62,"&lt;&gt;",'New Tooling Jobs'!E$13:E$62,"&lt;&gt;Completed"),INDEX('New Tooling Jobs'!E$13:E$62,MATCH(87,'New Tooling Jobs'!AG$13:AG$62,0)),INDEX(Reorders!E$13:E$62,MATCH(87-COUNTIFS('New Tooling Jobs'!A$13:A$62,"&lt;&gt;",'New Tooling Jobs'!E$13:E$62,"&lt;&gt;Completed"),Reorders!AC$13:AC$62,0))),"")</f>
        <v/>
      </c>
      <c r="E96" s="40">
        <f>IFERROR(IF(87&lt;=COUNTIFS('New Tooling Jobs'!A$13:A$62,"&lt;&gt;",'New Tooling Jobs'!E$13:E$62,"&lt;&gt;Completed"),INDEX('New Tooling Jobs'!G$13:G$62,MATCH(87,'New Tooling Jobs'!AG$13:AG$62,0)),INDEX(Reorders!G$13:G$62,MATCH(87-COUNTIFS('New Tooling Jobs'!A$13:A$62,"&lt;&gt;",'New Tooling Jobs'!E$13:E$62,"&lt;&gt;Completed"),Reorders!AC$13:AC$62,0))),"")</f>
        <v/>
      </c>
      <c r="F96" s="40">
        <f>IFERROR(IF(87&lt;=COUNTIFS('New Tooling Jobs'!A$13:A$62,"&lt;&gt;",'New Tooling Jobs'!E$13:E$62,"&lt;&gt;Completed"),INDEX('New Tooling Jobs'!H$13:H$62,MATCH(87,'New Tooling Jobs'!AG$13:AG$62,0)),INDEX(Reorders!H$13:H$62,MATCH(87-COUNTIFS('New Tooling Jobs'!A$13:A$62,"&lt;&gt;",'New Tooling Jobs'!E$13:E$62,"&lt;&gt;Completed"),Reorders!AC$13:AC$62,0))),"")</f>
        <v/>
      </c>
      <c r="G96" s="41">
        <f>IFERROR(IF(87&lt;=COUNTIFS('New Tooling Jobs'!A$13:A$62,"&lt;&gt;",'New Tooling Jobs'!E$13:E$62,"&lt;&gt;Completed"),INDEX('New Tooling Jobs'!I$13:I$62,MATCH(87,'New Tooling Jobs'!AG$13:AG$62,0)),INDEX(Reorders!I$13:I$62,MATCH(87-COUNTIFS('New Tooling Jobs'!A$13:A$62,"&lt;&gt;",'New Tooling Jobs'!E$13:E$62,"&lt;&gt;Completed"),Reorders!AC$13:AC$62,0))),"")</f>
        <v/>
      </c>
    </row>
    <row r="97" ht="15" customHeight="1" s="25">
      <c r="A97" s="40">
        <f>IFERROR(IF(88&lt;=COUNTIFS('New Tooling Jobs'!A$13:A$62,"&lt;&gt;",'New Tooling Jobs'!E$13:E$62,"&lt;&gt;Completed"),INDEX('New Tooling Jobs'!A$13:A$62,MATCH(88,'New Tooling Jobs'!AG$13:AG$62,0)),INDEX(Reorders!A$13:A$62,MATCH(88-COUNTIFS('New Tooling Jobs'!A$13:A$62,"&lt;&gt;",'New Tooling Jobs'!E$13:E$62,"&lt;&gt;Completed"),Reorders!AC$13:AC$62,0))),"")</f>
        <v/>
      </c>
      <c r="B97" s="40">
        <f>IFERROR(IF(88&lt;=COUNTIFS('New Tooling Jobs'!A$13:A$62,"&lt;&gt;",'New Tooling Jobs'!E$13:E$62,"&lt;&gt;Completed"),IF(INDEX('New Tooling Jobs'!A$13:A$62,MATCH(88,'New Tooling Jobs'!AG$13:AG$62,0))&lt;&gt;"","New Tooling",""),IF(INDEX(Reorders!A$13:A$62,MATCH(88-COUNTIFS('New Tooling Jobs'!A$13:A$62,"&lt;&gt;",'New Tooling Jobs'!E$13:E$62,"&lt;&gt;Completed"),Reorders!AC$13:AC$62,0))&lt;&gt;"","Reorder","")),"")</f>
        <v/>
      </c>
      <c r="C97" s="41">
        <f>IFERROR(IF(88&lt;=COUNTIFS('New Tooling Jobs'!A$13:A$62,"&lt;&gt;",'New Tooling Jobs'!E$13:E$62,"&lt;&gt;Completed"),INDEX('New Tooling Jobs'!B$13:B$62,MATCH(88,'New Tooling Jobs'!AG$13:AG$62,0)),INDEX(Reorders!B$13:B$62,MATCH(88-COUNTIFS('New Tooling Jobs'!A$13:A$62,"&lt;&gt;",'New Tooling Jobs'!E$13:E$62,"&lt;&gt;Completed"),Reorders!AC$13:AC$62,0))),"")</f>
        <v/>
      </c>
      <c r="D97" s="41">
        <f>IFERROR(IF(88&lt;=COUNTIFS('New Tooling Jobs'!A$13:A$62,"&lt;&gt;",'New Tooling Jobs'!E$13:E$62,"&lt;&gt;Completed"),INDEX('New Tooling Jobs'!E$13:E$62,MATCH(88,'New Tooling Jobs'!AG$13:AG$62,0)),INDEX(Reorders!E$13:E$62,MATCH(88-COUNTIFS('New Tooling Jobs'!A$13:A$62,"&lt;&gt;",'New Tooling Jobs'!E$13:E$62,"&lt;&gt;Completed"),Reorders!AC$13:AC$62,0))),"")</f>
        <v/>
      </c>
      <c r="E97" s="40">
        <f>IFERROR(IF(88&lt;=COUNTIFS('New Tooling Jobs'!A$13:A$62,"&lt;&gt;",'New Tooling Jobs'!E$13:E$62,"&lt;&gt;Completed"),INDEX('New Tooling Jobs'!G$13:G$62,MATCH(88,'New Tooling Jobs'!AG$13:AG$62,0)),INDEX(Reorders!G$13:G$62,MATCH(88-COUNTIFS('New Tooling Jobs'!A$13:A$62,"&lt;&gt;",'New Tooling Jobs'!E$13:E$62,"&lt;&gt;Completed"),Reorders!AC$13:AC$62,0))),"")</f>
        <v/>
      </c>
      <c r="F97" s="40">
        <f>IFERROR(IF(88&lt;=COUNTIFS('New Tooling Jobs'!A$13:A$62,"&lt;&gt;",'New Tooling Jobs'!E$13:E$62,"&lt;&gt;Completed"),INDEX('New Tooling Jobs'!H$13:H$62,MATCH(88,'New Tooling Jobs'!AG$13:AG$62,0)),INDEX(Reorders!H$13:H$62,MATCH(88-COUNTIFS('New Tooling Jobs'!A$13:A$62,"&lt;&gt;",'New Tooling Jobs'!E$13:E$62,"&lt;&gt;Completed"),Reorders!AC$13:AC$62,0))),"")</f>
        <v/>
      </c>
      <c r="G97" s="41">
        <f>IFERROR(IF(88&lt;=COUNTIFS('New Tooling Jobs'!A$13:A$62,"&lt;&gt;",'New Tooling Jobs'!E$13:E$62,"&lt;&gt;Completed"),INDEX('New Tooling Jobs'!I$13:I$62,MATCH(88,'New Tooling Jobs'!AG$13:AG$62,0)),INDEX(Reorders!I$13:I$62,MATCH(88-COUNTIFS('New Tooling Jobs'!A$13:A$62,"&lt;&gt;",'New Tooling Jobs'!E$13:E$62,"&lt;&gt;Completed"),Reorders!AC$13:AC$62,0))),"")</f>
        <v/>
      </c>
    </row>
    <row r="98" ht="15" customHeight="1" s="25">
      <c r="A98" s="40">
        <f>IFERROR(IF(89&lt;=COUNTIFS('New Tooling Jobs'!A$13:A$62,"&lt;&gt;",'New Tooling Jobs'!E$13:E$62,"&lt;&gt;Completed"),INDEX('New Tooling Jobs'!A$13:A$62,MATCH(89,'New Tooling Jobs'!AG$13:AG$62,0)),INDEX(Reorders!A$13:A$62,MATCH(89-COUNTIFS('New Tooling Jobs'!A$13:A$62,"&lt;&gt;",'New Tooling Jobs'!E$13:E$62,"&lt;&gt;Completed"),Reorders!AC$13:AC$62,0))),"")</f>
        <v/>
      </c>
      <c r="B98" s="40">
        <f>IFERROR(IF(89&lt;=COUNTIFS('New Tooling Jobs'!A$13:A$62,"&lt;&gt;",'New Tooling Jobs'!E$13:E$62,"&lt;&gt;Completed"),IF(INDEX('New Tooling Jobs'!A$13:A$62,MATCH(89,'New Tooling Jobs'!AG$13:AG$62,0))&lt;&gt;"","New Tooling",""),IF(INDEX(Reorders!A$13:A$62,MATCH(89-COUNTIFS('New Tooling Jobs'!A$13:A$62,"&lt;&gt;",'New Tooling Jobs'!E$13:E$62,"&lt;&gt;Completed"),Reorders!AC$13:AC$62,0))&lt;&gt;"","Reorder","")),"")</f>
        <v/>
      </c>
      <c r="C98" s="41">
        <f>IFERROR(IF(89&lt;=COUNTIFS('New Tooling Jobs'!A$13:A$62,"&lt;&gt;",'New Tooling Jobs'!E$13:E$62,"&lt;&gt;Completed"),INDEX('New Tooling Jobs'!B$13:B$62,MATCH(89,'New Tooling Jobs'!AG$13:AG$62,0)),INDEX(Reorders!B$13:B$62,MATCH(89-COUNTIFS('New Tooling Jobs'!A$13:A$62,"&lt;&gt;",'New Tooling Jobs'!E$13:E$62,"&lt;&gt;Completed"),Reorders!AC$13:AC$62,0))),"")</f>
        <v/>
      </c>
      <c r="D98" s="41">
        <f>IFERROR(IF(89&lt;=COUNTIFS('New Tooling Jobs'!A$13:A$62,"&lt;&gt;",'New Tooling Jobs'!E$13:E$62,"&lt;&gt;Completed"),INDEX('New Tooling Jobs'!E$13:E$62,MATCH(89,'New Tooling Jobs'!AG$13:AG$62,0)),INDEX(Reorders!E$13:E$62,MATCH(89-COUNTIFS('New Tooling Jobs'!A$13:A$62,"&lt;&gt;",'New Tooling Jobs'!E$13:E$62,"&lt;&gt;Completed"),Reorders!AC$13:AC$62,0))),"")</f>
        <v/>
      </c>
      <c r="E98" s="40">
        <f>IFERROR(IF(89&lt;=COUNTIFS('New Tooling Jobs'!A$13:A$62,"&lt;&gt;",'New Tooling Jobs'!E$13:E$62,"&lt;&gt;Completed"),INDEX('New Tooling Jobs'!G$13:G$62,MATCH(89,'New Tooling Jobs'!AG$13:AG$62,0)),INDEX(Reorders!G$13:G$62,MATCH(89-COUNTIFS('New Tooling Jobs'!A$13:A$62,"&lt;&gt;",'New Tooling Jobs'!E$13:E$62,"&lt;&gt;Completed"),Reorders!AC$13:AC$62,0))),"")</f>
        <v/>
      </c>
      <c r="F98" s="40">
        <f>IFERROR(IF(89&lt;=COUNTIFS('New Tooling Jobs'!A$13:A$62,"&lt;&gt;",'New Tooling Jobs'!E$13:E$62,"&lt;&gt;Completed"),INDEX('New Tooling Jobs'!H$13:H$62,MATCH(89,'New Tooling Jobs'!AG$13:AG$62,0)),INDEX(Reorders!H$13:H$62,MATCH(89-COUNTIFS('New Tooling Jobs'!A$13:A$62,"&lt;&gt;",'New Tooling Jobs'!E$13:E$62,"&lt;&gt;Completed"),Reorders!AC$13:AC$62,0))),"")</f>
        <v/>
      </c>
      <c r="G98" s="41">
        <f>IFERROR(IF(89&lt;=COUNTIFS('New Tooling Jobs'!A$13:A$62,"&lt;&gt;",'New Tooling Jobs'!E$13:E$62,"&lt;&gt;Completed"),INDEX('New Tooling Jobs'!I$13:I$62,MATCH(89,'New Tooling Jobs'!AG$13:AG$62,0)),INDEX(Reorders!I$13:I$62,MATCH(89-COUNTIFS('New Tooling Jobs'!A$13:A$62,"&lt;&gt;",'New Tooling Jobs'!E$13:E$62,"&lt;&gt;Completed"),Reorders!AC$13:AC$62,0))),"")</f>
        <v/>
      </c>
    </row>
    <row r="99" ht="15" customHeight="1" s="25">
      <c r="A99" s="40">
        <f>IFERROR(IF(90&lt;=COUNTIFS('New Tooling Jobs'!A$13:A$62,"&lt;&gt;",'New Tooling Jobs'!E$13:E$62,"&lt;&gt;Completed"),INDEX('New Tooling Jobs'!A$13:A$62,MATCH(90,'New Tooling Jobs'!AG$13:AG$62,0)),INDEX(Reorders!A$13:A$62,MATCH(90-COUNTIFS('New Tooling Jobs'!A$13:A$62,"&lt;&gt;",'New Tooling Jobs'!E$13:E$62,"&lt;&gt;Completed"),Reorders!AC$13:AC$62,0))),"")</f>
        <v/>
      </c>
      <c r="B99" s="40">
        <f>IFERROR(IF(90&lt;=COUNTIFS('New Tooling Jobs'!A$13:A$62,"&lt;&gt;",'New Tooling Jobs'!E$13:E$62,"&lt;&gt;Completed"),IF(INDEX('New Tooling Jobs'!A$13:A$62,MATCH(90,'New Tooling Jobs'!AG$13:AG$62,0))&lt;&gt;"","New Tooling",""),IF(INDEX(Reorders!A$13:A$62,MATCH(90-COUNTIFS('New Tooling Jobs'!A$13:A$62,"&lt;&gt;",'New Tooling Jobs'!E$13:E$62,"&lt;&gt;Completed"),Reorders!AC$13:AC$62,0))&lt;&gt;"","Reorder","")),"")</f>
        <v/>
      </c>
      <c r="C99" s="41">
        <f>IFERROR(IF(90&lt;=COUNTIFS('New Tooling Jobs'!A$13:A$62,"&lt;&gt;",'New Tooling Jobs'!E$13:E$62,"&lt;&gt;Completed"),INDEX('New Tooling Jobs'!B$13:B$62,MATCH(90,'New Tooling Jobs'!AG$13:AG$62,0)),INDEX(Reorders!B$13:B$62,MATCH(90-COUNTIFS('New Tooling Jobs'!A$13:A$62,"&lt;&gt;",'New Tooling Jobs'!E$13:E$62,"&lt;&gt;Completed"),Reorders!AC$13:AC$62,0))),"")</f>
        <v/>
      </c>
      <c r="D99" s="41">
        <f>IFERROR(IF(90&lt;=COUNTIFS('New Tooling Jobs'!A$13:A$62,"&lt;&gt;",'New Tooling Jobs'!E$13:E$62,"&lt;&gt;Completed"),INDEX('New Tooling Jobs'!E$13:E$62,MATCH(90,'New Tooling Jobs'!AG$13:AG$62,0)),INDEX(Reorders!E$13:E$62,MATCH(90-COUNTIFS('New Tooling Jobs'!A$13:A$62,"&lt;&gt;",'New Tooling Jobs'!E$13:E$62,"&lt;&gt;Completed"),Reorders!AC$13:AC$62,0))),"")</f>
        <v/>
      </c>
      <c r="E99" s="40">
        <f>IFERROR(IF(90&lt;=COUNTIFS('New Tooling Jobs'!A$13:A$62,"&lt;&gt;",'New Tooling Jobs'!E$13:E$62,"&lt;&gt;Completed"),INDEX('New Tooling Jobs'!G$13:G$62,MATCH(90,'New Tooling Jobs'!AG$13:AG$62,0)),INDEX(Reorders!G$13:G$62,MATCH(90-COUNTIFS('New Tooling Jobs'!A$13:A$62,"&lt;&gt;",'New Tooling Jobs'!E$13:E$62,"&lt;&gt;Completed"),Reorders!AC$13:AC$62,0))),"")</f>
        <v/>
      </c>
      <c r="F99" s="40">
        <f>IFERROR(IF(90&lt;=COUNTIFS('New Tooling Jobs'!A$13:A$62,"&lt;&gt;",'New Tooling Jobs'!E$13:E$62,"&lt;&gt;Completed"),INDEX('New Tooling Jobs'!H$13:H$62,MATCH(90,'New Tooling Jobs'!AG$13:AG$62,0)),INDEX(Reorders!H$13:H$62,MATCH(90-COUNTIFS('New Tooling Jobs'!A$13:A$62,"&lt;&gt;",'New Tooling Jobs'!E$13:E$62,"&lt;&gt;Completed"),Reorders!AC$13:AC$62,0))),"")</f>
        <v/>
      </c>
      <c r="G99" s="41">
        <f>IFERROR(IF(90&lt;=COUNTIFS('New Tooling Jobs'!A$13:A$62,"&lt;&gt;",'New Tooling Jobs'!E$13:E$62,"&lt;&gt;Completed"),INDEX('New Tooling Jobs'!I$13:I$62,MATCH(90,'New Tooling Jobs'!AG$13:AG$62,0)),INDEX(Reorders!I$13:I$62,MATCH(90-COUNTIFS('New Tooling Jobs'!A$13:A$62,"&lt;&gt;",'New Tooling Jobs'!E$13:E$62,"&lt;&gt;Completed"),Reorders!AC$13:AC$62,0))),"")</f>
        <v/>
      </c>
    </row>
    <row r="100" ht="15" customHeight="1" s="25">
      <c r="A100" s="40">
        <f>IFERROR(IF(91&lt;=COUNTIFS('New Tooling Jobs'!A$13:A$62,"&lt;&gt;",'New Tooling Jobs'!E$13:E$62,"&lt;&gt;Completed"),INDEX('New Tooling Jobs'!A$13:A$62,MATCH(91,'New Tooling Jobs'!AG$13:AG$62,0)),INDEX(Reorders!A$13:A$62,MATCH(91-COUNTIFS('New Tooling Jobs'!A$13:A$62,"&lt;&gt;",'New Tooling Jobs'!E$13:E$62,"&lt;&gt;Completed"),Reorders!AC$13:AC$62,0))),"")</f>
        <v/>
      </c>
      <c r="B100" s="40">
        <f>IFERROR(IF(91&lt;=COUNTIFS('New Tooling Jobs'!A$13:A$62,"&lt;&gt;",'New Tooling Jobs'!E$13:E$62,"&lt;&gt;Completed"),IF(INDEX('New Tooling Jobs'!A$13:A$62,MATCH(91,'New Tooling Jobs'!AG$13:AG$62,0))&lt;&gt;"","New Tooling",""),IF(INDEX(Reorders!A$13:A$62,MATCH(91-COUNTIFS('New Tooling Jobs'!A$13:A$62,"&lt;&gt;",'New Tooling Jobs'!E$13:E$62,"&lt;&gt;Completed"),Reorders!AC$13:AC$62,0))&lt;&gt;"","Reorder","")),"")</f>
        <v/>
      </c>
      <c r="C100" s="41">
        <f>IFERROR(IF(91&lt;=COUNTIFS('New Tooling Jobs'!A$13:A$62,"&lt;&gt;",'New Tooling Jobs'!E$13:E$62,"&lt;&gt;Completed"),INDEX('New Tooling Jobs'!B$13:B$62,MATCH(91,'New Tooling Jobs'!AG$13:AG$62,0)),INDEX(Reorders!B$13:B$62,MATCH(91-COUNTIFS('New Tooling Jobs'!A$13:A$62,"&lt;&gt;",'New Tooling Jobs'!E$13:E$62,"&lt;&gt;Completed"),Reorders!AC$13:AC$62,0))),"")</f>
        <v/>
      </c>
      <c r="D100" s="41">
        <f>IFERROR(IF(91&lt;=COUNTIFS('New Tooling Jobs'!A$13:A$62,"&lt;&gt;",'New Tooling Jobs'!E$13:E$62,"&lt;&gt;Completed"),INDEX('New Tooling Jobs'!E$13:E$62,MATCH(91,'New Tooling Jobs'!AG$13:AG$62,0)),INDEX(Reorders!E$13:E$62,MATCH(91-COUNTIFS('New Tooling Jobs'!A$13:A$62,"&lt;&gt;",'New Tooling Jobs'!E$13:E$62,"&lt;&gt;Completed"),Reorders!AC$13:AC$62,0))),"")</f>
        <v/>
      </c>
      <c r="E100" s="40">
        <f>IFERROR(IF(91&lt;=COUNTIFS('New Tooling Jobs'!A$13:A$62,"&lt;&gt;",'New Tooling Jobs'!E$13:E$62,"&lt;&gt;Completed"),INDEX('New Tooling Jobs'!G$13:G$62,MATCH(91,'New Tooling Jobs'!AG$13:AG$62,0)),INDEX(Reorders!G$13:G$62,MATCH(91-COUNTIFS('New Tooling Jobs'!A$13:A$62,"&lt;&gt;",'New Tooling Jobs'!E$13:E$62,"&lt;&gt;Completed"),Reorders!AC$13:AC$62,0))),"")</f>
        <v/>
      </c>
      <c r="F100" s="40">
        <f>IFERROR(IF(91&lt;=COUNTIFS('New Tooling Jobs'!A$13:A$62,"&lt;&gt;",'New Tooling Jobs'!E$13:E$62,"&lt;&gt;Completed"),INDEX('New Tooling Jobs'!H$13:H$62,MATCH(91,'New Tooling Jobs'!AG$13:AG$62,0)),INDEX(Reorders!H$13:H$62,MATCH(91-COUNTIFS('New Tooling Jobs'!A$13:A$62,"&lt;&gt;",'New Tooling Jobs'!E$13:E$62,"&lt;&gt;Completed"),Reorders!AC$13:AC$62,0))),"")</f>
        <v/>
      </c>
      <c r="G100" s="41">
        <f>IFERROR(IF(91&lt;=COUNTIFS('New Tooling Jobs'!A$13:A$62,"&lt;&gt;",'New Tooling Jobs'!E$13:E$62,"&lt;&gt;Completed"),INDEX('New Tooling Jobs'!I$13:I$62,MATCH(91,'New Tooling Jobs'!AG$13:AG$62,0)),INDEX(Reorders!I$13:I$62,MATCH(91-COUNTIFS('New Tooling Jobs'!A$13:A$62,"&lt;&gt;",'New Tooling Jobs'!E$13:E$62,"&lt;&gt;Completed"),Reorders!AC$13:AC$62,0))),"")</f>
        <v/>
      </c>
    </row>
    <row r="101" ht="15" customHeight="1" s="25">
      <c r="A101" s="40">
        <f>IFERROR(IF(92&lt;=COUNTIFS('New Tooling Jobs'!A$13:A$62,"&lt;&gt;",'New Tooling Jobs'!E$13:E$62,"&lt;&gt;Completed"),INDEX('New Tooling Jobs'!A$13:A$62,MATCH(92,'New Tooling Jobs'!AG$13:AG$62,0)),INDEX(Reorders!A$13:A$62,MATCH(92-COUNTIFS('New Tooling Jobs'!A$13:A$62,"&lt;&gt;",'New Tooling Jobs'!E$13:E$62,"&lt;&gt;Completed"),Reorders!AC$13:AC$62,0))),"")</f>
        <v/>
      </c>
      <c r="B101" s="40">
        <f>IFERROR(IF(92&lt;=COUNTIFS('New Tooling Jobs'!A$13:A$62,"&lt;&gt;",'New Tooling Jobs'!E$13:E$62,"&lt;&gt;Completed"),IF(INDEX('New Tooling Jobs'!A$13:A$62,MATCH(92,'New Tooling Jobs'!AG$13:AG$62,0))&lt;&gt;"","New Tooling",""),IF(INDEX(Reorders!A$13:A$62,MATCH(92-COUNTIFS('New Tooling Jobs'!A$13:A$62,"&lt;&gt;",'New Tooling Jobs'!E$13:E$62,"&lt;&gt;Completed"),Reorders!AC$13:AC$62,0))&lt;&gt;"","Reorder","")),"")</f>
        <v/>
      </c>
      <c r="C101" s="41">
        <f>IFERROR(IF(92&lt;=COUNTIFS('New Tooling Jobs'!A$13:A$62,"&lt;&gt;",'New Tooling Jobs'!E$13:E$62,"&lt;&gt;Completed"),INDEX('New Tooling Jobs'!B$13:B$62,MATCH(92,'New Tooling Jobs'!AG$13:AG$62,0)),INDEX(Reorders!B$13:B$62,MATCH(92-COUNTIFS('New Tooling Jobs'!A$13:A$62,"&lt;&gt;",'New Tooling Jobs'!E$13:E$62,"&lt;&gt;Completed"),Reorders!AC$13:AC$62,0))),"")</f>
        <v/>
      </c>
      <c r="D101" s="41">
        <f>IFERROR(IF(92&lt;=COUNTIFS('New Tooling Jobs'!A$13:A$62,"&lt;&gt;",'New Tooling Jobs'!E$13:E$62,"&lt;&gt;Completed"),INDEX('New Tooling Jobs'!E$13:E$62,MATCH(92,'New Tooling Jobs'!AG$13:AG$62,0)),INDEX(Reorders!E$13:E$62,MATCH(92-COUNTIFS('New Tooling Jobs'!A$13:A$62,"&lt;&gt;",'New Tooling Jobs'!E$13:E$62,"&lt;&gt;Completed"),Reorders!AC$13:AC$62,0))),"")</f>
        <v/>
      </c>
      <c r="E101" s="40">
        <f>IFERROR(IF(92&lt;=COUNTIFS('New Tooling Jobs'!A$13:A$62,"&lt;&gt;",'New Tooling Jobs'!E$13:E$62,"&lt;&gt;Completed"),INDEX('New Tooling Jobs'!G$13:G$62,MATCH(92,'New Tooling Jobs'!AG$13:AG$62,0)),INDEX(Reorders!G$13:G$62,MATCH(92-COUNTIFS('New Tooling Jobs'!A$13:A$62,"&lt;&gt;",'New Tooling Jobs'!E$13:E$62,"&lt;&gt;Completed"),Reorders!AC$13:AC$62,0))),"")</f>
        <v/>
      </c>
      <c r="F101" s="40">
        <f>IFERROR(IF(92&lt;=COUNTIFS('New Tooling Jobs'!A$13:A$62,"&lt;&gt;",'New Tooling Jobs'!E$13:E$62,"&lt;&gt;Completed"),INDEX('New Tooling Jobs'!H$13:H$62,MATCH(92,'New Tooling Jobs'!AG$13:AG$62,0)),INDEX(Reorders!H$13:H$62,MATCH(92-COUNTIFS('New Tooling Jobs'!A$13:A$62,"&lt;&gt;",'New Tooling Jobs'!E$13:E$62,"&lt;&gt;Completed"),Reorders!AC$13:AC$62,0))),"")</f>
        <v/>
      </c>
      <c r="G101" s="41">
        <f>IFERROR(IF(92&lt;=COUNTIFS('New Tooling Jobs'!A$13:A$62,"&lt;&gt;",'New Tooling Jobs'!E$13:E$62,"&lt;&gt;Completed"),INDEX('New Tooling Jobs'!I$13:I$62,MATCH(92,'New Tooling Jobs'!AG$13:AG$62,0)),INDEX(Reorders!I$13:I$62,MATCH(92-COUNTIFS('New Tooling Jobs'!A$13:A$62,"&lt;&gt;",'New Tooling Jobs'!E$13:E$62,"&lt;&gt;Completed"),Reorders!AC$13:AC$62,0))),"")</f>
        <v/>
      </c>
    </row>
    <row r="102" ht="15" customHeight="1" s="25">
      <c r="A102" s="40">
        <f>IFERROR(IF(93&lt;=COUNTIFS('New Tooling Jobs'!A$13:A$62,"&lt;&gt;",'New Tooling Jobs'!E$13:E$62,"&lt;&gt;Completed"),INDEX('New Tooling Jobs'!A$13:A$62,MATCH(93,'New Tooling Jobs'!AG$13:AG$62,0)),INDEX(Reorders!A$13:A$62,MATCH(93-COUNTIFS('New Tooling Jobs'!A$13:A$62,"&lt;&gt;",'New Tooling Jobs'!E$13:E$62,"&lt;&gt;Completed"),Reorders!AC$13:AC$62,0))),"")</f>
        <v/>
      </c>
      <c r="B102" s="40">
        <f>IFERROR(IF(93&lt;=COUNTIFS('New Tooling Jobs'!A$13:A$62,"&lt;&gt;",'New Tooling Jobs'!E$13:E$62,"&lt;&gt;Completed"),IF(INDEX('New Tooling Jobs'!A$13:A$62,MATCH(93,'New Tooling Jobs'!AG$13:AG$62,0))&lt;&gt;"","New Tooling",""),IF(INDEX(Reorders!A$13:A$62,MATCH(93-COUNTIFS('New Tooling Jobs'!A$13:A$62,"&lt;&gt;",'New Tooling Jobs'!E$13:E$62,"&lt;&gt;Completed"),Reorders!AC$13:AC$62,0))&lt;&gt;"","Reorder","")),"")</f>
        <v/>
      </c>
      <c r="C102" s="41">
        <f>IFERROR(IF(93&lt;=COUNTIFS('New Tooling Jobs'!A$13:A$62,"&lt;&gt;",'New Tooling Jobs'!E$13:E$62,"&lt;&gt;Completed"),INDEX('New Tooling Jobs'!B$13:B$62,MATCH(93,'New Tooling Jobs'!AG$13:AG$62,0)),INDEX(Reorders!B$13:B$62,MATCH(93-COUNTIFS('New Tooling Jobs'!A$13:A$62,"&lt;&gt;",'New Tooling Jobs'!E$13:E$62,"&lt;&gt;Completed"),Reorders!AC$13:AC$62,0))),"")</f>
        <v/>
      </c>
      <c r="D102" s="41">
        <f>IFERROR(IF(93&lt;=COUNTIFS('New Tooling Jobs'!A$13:A$62,"&lt;&gt;",'New Tooling Jobs'!E$13:E$62,"&lt;&gt;Completed"),INDEX('New Tooling Jobs'!E$13:E$62,MATCH(93,'New Tooling Jobs'!AG$13:AG$62,0)),INDEX(Reorders!E$13:E$62,MATCH(93-COUNTIFS('New Tooling Jobs'!A$13:A$62,"&lt;&gt;",'New Tooling Jobs'!E$13:E$62,"&lt;&gt;Completed"),Reorders!AC$13:AC$62,0))),"")</f>
        <v/>
      </c>
      <c r="E102" s="40">
        <f>IFERROR(IF(93&lt;=COUNTIFS('New Tooling Jobs'!A$13:A$62,"&lt;&gt;",'New Tooling Jobs'!E$13:E$62,"&lt;&gt;Completed"),INDEX('New Tooling Jobs'!G$13:G$62,MATCH(93,'New Tooling Jobs'!AG$13:AG$62,0)),INDEX(Reorders!G$13:G$62,MATCH(93-COUNTIFS('New Tooling Jobs'!A$13:A$62,"&lt;&gt;",'New Tooling Jobs'!E$13:E$62,"&lt;&gt;Completed"),Reorders!AC$13:AC$62,0))),"")</f>
        <v/>
      </c>
      <c r="F102" s="40">
        <f>IFERROR(IF(93&lt;=COUNTIFS('New Tooling Jobs'!A$13:A$62,"&lt;&gt;",'New Tooling Jobs'!E$13:E$62,"&lt;&gt;Completed"),INDEX('New Tooling Jobs'!H$13:H$62,MATCH(93,'New Tooling Jobs'!AG$13:AG$62,0)),INDEX(Reorders!H$13:H$62,MATCH(93-COUNTIFS('New Tooling Jobs'!A$13:A$62,"&lt;&gt;",'New Tooling Jobs'!E$13:E$62,"&lt;&gt;Completed"),Reorders!AC$13:AC$62,0))),"")</f>
        <v/>
      </c>
      <c r="G102" s="41">
        <f>IFERROR(IF(93&lt;=COUNTIFS('New Tooling Jobs'!A$13:A$62,"&lt;&gt;",'New Tooling Jobs'!E$13:E$62,"&lt;&gt;Completed"),INDEX('New Tooling Jobs'!I$13:I$62,MATCH(93,'New Tooling Jobs'!AG$13:AG$62,0)),INDEX(Reorders!I$13:I$62,MATCH(93-COUNTIFS('New Tooling Jobs'!A$13:A$62,"&lt;&gt;",'New Tooling Jobs'!E$13:E$62,"&lt;&gt;Completed"),Reorders!AC$13:AC$62,0))),"")</f>
        <v/>
      </c>
    </row>
    <row r="103" ht="15" customHeight="1" s="25">
      <c r="A103" s="40">
        <f>IFERROR(IF(94&lt;=COUNTIFS('New Tooling Jobs'!A$13:A$62,"&lt;&gt;",'New Tooling Jobs'!E$13:E$62,"&lt;&gt;Completed"),INDEX('New Tooling Jobs'!A$13:A$62,MATCH(94,'New Tooling Jobs'!AG$13:AG$62,0)),INDEX(Reorders!A$13:A$62,MATCH(94-COUNTIFS('New Tooling Jobs'!A$13:A$62,"&lt;&gt;",'New Tooling Jobs'!E$13:E$62,"&lt;&gt;Completed"),Reorders!AC$13:AC$62,0))),"")</f>
        <v/>
      </c>
      <c r="B103" s="40">
        <f>IFERROR(IF(94&lt;=COUNTIFS('New Tooling Jobs'!A$13:A$62,"&lt;&gt;",'New Tooling Jobs'!E$13:E$62,"&lt;&gt;Completed"),IF(INDEX('New Tooling Jobs'!A$13:A$62,MATCH(94,'New Tooling Jobs'!AG$13:AG$62,0))&lt;&gt;"","New Tooling",""),IF(INDEX(Reorders!A$13:A$62,MATCH(94-COUNTIFS('New Tooling Jobs'!A$13:A$62,"&lt;&gt;",'New Tooling Jobs'!E$13:E$62,"&lt;&gt;Completed"),Reorders!AC$13:AC$62,0))&lt;&gt;"","Reorder","")),"")</f>
        <v/>
      </c>
      <c r="C103" s="41">
        <f>IFERROR(IF(94&lt;=COUNTIFS('New Tooling Jobs'!A$13:A$62,"&lt;&gt;",'New Tooling Jobs'!E$13:E$62,"&lt;&gt;Completed"),INDEX('New Tooling Jobs'!B$13:B$62,MATCH(94,'New Tooling Jobs'!AG$13:AG$62,0)),INDEX(Reorders!B$13:B$62,MATCH(94-COUNTIFS('New Tooling Jobs'!A$13:A$62,"&lt;&gt;",'New Tooling Jobs'!E$13:E$62,"&lt;&gt;Completed"),Reorders!AC$13:AC$62,0))),"")</f>
        <v/>
      </c>
      <c r="D103" s="41">
        <f>IFERROR(IF(94&lt;=COUNTIFS('New Tooling Jobs'!A$13:A$62,"&lt;&gt;",'New Tooling Jobs'!E$13:E$62,"&lt;&gt;Completed"),INDEX('New Tooling Jobs'!E$13:E$62,MATCH(94,'New Tooling Jobs'!AG$13:AG$62,0)),INDEX(Reorders!E$13:E$62,MATCH(94-COUNTIFS('New Tooling Jobs'!A$13:A$62,"&lt;&gt;",'New Tooling Jobs'!E$13:E$62,"&lt;&gt;Completed"),Reorders!AC$13:AC$62,0))),"")</f>
        <v/>
      </c>
      <c r="E103" s="40">
        <f>IFERROR(IF(94&lt;=COUNTIFS('New Tooling Jobs'!A$13:A$62,"&lt;&gt;",'New Tooling Jobs'!E$13:E$62,"&lt;&gt;Completed"),INDEX('New Tooling Jobs'!G$13:G$62,MATCH(94,'New Tooling Jobs'!AG$13:AG$62,0)),INDEX(Reorders!G$13:G$62,MATCH(94-COUNTIFS('New Tooling Jobs'!A$13:A$62,"&lt;&gt;",'New Tooling Jobs'!E$13:E$62,"&lt;&gt;Completed"),Reorders!AC$13:AC$62,0))),"")</f>
        <v/>
      </c>
      <c r="F103" s="40">
        <f>IFERROR(IF(94&lt;=COUNTIFS('New Tooling Jobs'!A$13:A$62,"&lt;&gt;",'New Tooling Jobs'!E$13:E$62,"&lt;&gt;Completed"),INDEX('New Tooling Jobs'!H$13:H$62,MATCH(94,'New Tooling Jobs'!AG$13:AG$62,0)),INDEX(Reorders!H$13:H$62,MATCH(94-COUNTIFS('New Tooling Jobs'!A$13:A$62,"&lt;&gt;",'New Tooling Jobs'!E$13:E$62,"&lt;&gt;Completed"),Reorders!AC$13:AC$62,0))),"")</f>
        <v/>
      </c>
      <c r="G103" s="41">
        <f>IFERROR(IF(94&lt;=COUNTIFS('New Tooling Jobs'!A$13:A$62,"&lt;&gt;",'New Tooling Jobs'!E$13:E$62,"&lt;&gt;Completed"),INDEX('New Tooling Jobs'!I$13:I$62,MATCH(94,'New Tooling Jobs'!AG$13:AG$62,0)),INDEX(Reorders!I$13:I$62,MATCH(94-COUNTIFS('New Tooling Jobs'!A$13:A$62,"&lt;&gt;",'New Tooling Jobs'!E$13:E$62,"&lt;&gt;Completed"),Reorders!AC$13:AC$62,0))),"")</f>
        <v/>
      </c>
    </row>
    <row r="104" ht="15" customHeight="1" s="25">
      <c r="A104" s="40">
        <f>IFERROR(IF(95&lt;=COUNTIFS('New Tooling Jobs'!A$13:A$62,"&lt;&gt;",'New Tooling Jobs'!E$13:E$62,"&lt;&gt;Completed"),INDEX('New Tooling Jobs'!A$13:A$62,MATCH(95,'New Tooling Jobs'!AG$13:AG$62,0)),INDEX(Reorders!A$13:A$62,MATCH(95-COUNTIFS('New Tooling Jobs'!A$13:A$62,"&lt;&gt;",'New Tooling Jobs'!E$13:E$62,"&lt;&gt;Completed"),Reorders!AC$13:AC$62,0))),"")</f>
        <v/>
      </c>
      <c r="B104" s="40">
        <f>IFERROR(IF(95&lt;=COUNTIFS('New Tooling Jobs'!A$13:A$62,"&lt;&gt;",'New Tooling Jobs'!E$13:E$62,"&lt;&gt;Completed"),IF(INDEX('New Tooling Jobs'!A$13:A$62,MATCH(95,'New Tooling Jobs'!AG$13:AG$62,0))&lt;&gt;"","New Tooling",""),IF(INDEX(Reorders!A$13:A$62,MATCH(95-COUNTIFS('New Tooling Jobs'!A$13:A$62,"&lt;&gt;",'New Tooling Jobs'!E$13:E$62,"&lt;&gt;Completed"),Reorders!AC$13:AC$62,0))&lt;&gt;"","Reorder","")),"")</f>
        <v/>
      </c>
      <c r="C104" s="41">
        <f>IFERROR(IF(95&lt;=COUNTIFS('New Tooling Jobs'!A$13:A$62,"&lt;&gt;",'New Tooling Jobs'!E$13:E$62,"&lt;&gt;Completed"),INDEX('New Tooling Jobs'!B$13:B$62,MATCH(95,'New Tooling Jobs'!AG$13:AG$62,0)),INDEX(Reorders!B$13:B$62,MATCH(95-COUNTIFS('New Tooling Jobs'!A$13:A$62,"&lt;&gt;",'New Tooling Jobs'!E$13:E$62,"&lt;&gt;Completed"),Reorders!AC$13:AC$62,0))),"")</f>
        <v/>
      </c>
      <c r="D104" s="41">
        <f>IFERROR(IF(95&lt;=COUNTIFS('New Tooling Jobs'!A$13:A$62,"&lt;&gt;",'New Tooling Jobs'!E$13:E$62,"&lt;&gt;Completed"),INDEX('New Tooling Jobs'!E$13:E$62,MATCH(95,'New Tooling Jobs'!AG$13:AG$62,0)),INDEX(Reorders!E$13:E$62,MATCH(95-COUNTIFS('New Tooling Jobs'!A$13:A$62,"&lt;&gt;",'New Tooling Jobs'!E$13:E$62,"&lt;&gt;Completed"),Reorders!AC$13:AC$62,0))),"")</f>
        <v/>
      </c>
      <c r="E104" s="40">
        <f>IFERROR(IF(95&lt;=COUNTIFS('New Tooling Jobs'!A$13:A$62,"&lt;&gt;",'New Tooling Jobs'!E$13:E$62,"&lt;&gt;Completed"),INDEX('New Tooling Jobs'!G$13:G$62,MATCH(95,'New Tooling Jobs'!AG$13:AG$62,0)),INDEX(Reorders!G$13:G$62,MATCH(95-COUNTIFS('New Tooling Jobs'!A$13:A$62,"&lt;&gt;",'New Tooling Jobs'!E$13:E$62,"&lt;&gt;Completed"),Reorders!AC$13:AC$62,0))),"")</f>
        <v/>
      </c>
      <c r="F104" s="40">
        <f>IFERROR(IF(95&lt;=COUNTIFS('New Tooling Jobs'!A$13:A$62,"&lt;&gt;",'New Tooling Jobs'!E$13:E$62,"&lt;&gt;Completed"),INDEX('New Tooling Jobs'!H$13:H$62,MATCH(95,'New Tooling Jobs'!AG$13:AG$62,0)),INDEX(Reorders!H$13:H$62,MATCH(95-COUNTIFS('New Tooling Jobs'!A$13:A$62,"&lt;&gt;",'New Tooling Jobs'!E$13:E$62,"&lt;&gt;Completed"),Reorders!AC$13:AC$62,0))),"")</f>
        <v/>
      </c>
      <c r="G104" s="41">
        <f>IFERROR(IF(95&lt;=COUNTIFS('New Tooling Jobs'!A$13:A$62,"&lt;&gt;",'New Tooling Jobs'!E$13:E$62,"&lt;&gt;Completed"),INDEX('New Tooling Jobs'!I$13:I$62,MATCH(95,'New Tooling Jobs'!AG$13:AG$62,0)),INDEX(Reorders!I$13:I$62,MATCH(95-COUNTIFS('New Tooling Jobs'!A$13:A$62,"&lt;&gt;",'New Tooling Jobs'!E$13:E$62,"&lt;&gt;Completed"),Reorders!AC$13:AC$62,0))),"")</f>
        <v/>
      </c>
    </row>
    <row r="105" ht="15" customHeight="1" s="25">
      <c r="A105" s="40">
        <f>IFERROR(IF(96&lt;=COUNTIFS('New Tooling Jobs'!A$13:A$62,"&lt;&gt;",'New Tooling Jobs'!E$13:E$62,"&lt;&gt;Completed"),INDEX('New Tooling Jobs'!A$13:A$62,MATCH(96,'New Tooling Jobs'!AG$13:AG$62,0)),INDEX(Reorders!A$13:A$62,MATCH(96-COUNTIFS('New Tooling Jobs'!A$13:A$62,"&lt;&gt;",'New Tooling Jobs'!E$13:E$62,"&lt;&gt;Completed"),Reorders!AC$13:AC$62,0))),"")</f>
        <v/>
      </c>
      <c r="B105" s="40">
        <f>IFERROR(IF(96&lt;=COUNTIFS('New Tooling Jobs'!A$13:A$62,"&lt;&gt;",'New Tooling Jobs'!E$13:E$62,"&lt;&gt;Completed"),IF(INDEX('New Tooling Jobs'!A$13:A$62,MATCH(96,'New Tooling Jobs'!AG$13:AG$62,0))&lt;&gt;"","New Tooling",""),IF(INDEX(Reorders!A$13:A$62,MATCH(96-COUNTIFS('New Tooling Jobs'!A$13:A$62,"&lt;&gt;",'New Tooling Jobs'!E$13:E$62,"&lt;&gt;Completed"),Reorders!AC$13:AC$62,0))&lt;&gt;"","Reorder","")),"")</f>
        <v/>
      </c>
      <c r="C105" s="41">
        <f>IFERROR(IF(96&lt;=COUNTIFS('New Tooling Jobs'!A$13:A$62,"&lt;&gt;",'New Tooling Jobs'!E$13:E$62,"&lt;&gt;Completed"),INDEX('New Tooling Jobs'!B$13:B$62,MATCH(96,'New Tooling Jobs'!AG$13:AG$62,0)),INDEX(Reorders!B$13:B$62,MATCH(96-COUNTIFS('New Tooling Jobs'!A$13:A$62,"&lt;&gt;",'New Tooling Jobs'!E$13:E$62,"&lt;&gt;Completed"),Reorders!AC$13:AC$62,0))),"")</f>
        <v/>
      </c>
      <c r="D105" s="41">
        <f>IFERROR(IF(96&lt;=COUNTIFS('New Tooling Jobs'!A$13:A$62,"&lt;&gt;",'New Tooling Jobs'!E$13:E$62,"&lt;&gt;Completed"),INDEX('New Tooling Jobs'!E$13:E$62,MATCH(96,'New Tooling Jobs'!AG$13:AG$62,0)),INDEX(Reorders!E$13:E$62,MATCH(96-COUNTIFS('New Tooling Jobs'!A$13:A$62,"&lt;&gt;",'New Tooling Jobs'!E$13:E$62,"&lt;&gt;Completed"),Reorders!AC$13:AC$62,0))),"")</f>
        <v/>
      </c>
      <c r="E105" s="40">
        <f>IFERROR(IF(96&lt;=COUNTIFS('New Tooling Jobs'!A$13:A$62,"&lt;&gt;",'New Tooling Jobs'!E$13:E$62,"&lt;&gt;Completed"),INDEX('New Tooling Jobs'!G$13:G$62,MATCH(96,'New Tooling Jobs'!AG$13:AG$62,0)),INDEX(Reorders!G$13:G$62,MATCH(96-COUNTIFS('New Tooling Jobs'!A$13:A$62,"&lt;&gt;",'New Tooling Jobs'!E$13:E$62,"&lt;&gt;Completed"),Reorders!AC$13:AC$62,0))),"")</f>
        <v/>
      </c>
      <c r="F105" s="40">
        <f>IFERROR(IF(96&lt;=COUNTIFS('New Tooling Jobs'!A$13:A$62,"&lt;&gt;",'New Tooling Jobs'!E$13:E$62,"&lt;&gt;Completed"),INDEX('New Tooling Jobs'!H$13:H$62,MATCH(96,'New Tooling Jobs'!AG$13:AG$62,0)),INDEX(Reorders!H$13:H$62,MATCH(96-COUNTIFS('New Tooling Jobs'!A$13:A$62,"&lt;&gt;",'New Tooling Jobs'!E$13:E$62,"&lt;&gt;Completed"),Reorders!AC$13:AC$62,0))),"")</f>
        <v/>
      </c>
      <c r="G105" s="41">
        <f>IFERROR(IF(96&lt;=COUNTIFS('New Tooling Jobs'!A$13:A$62,"&lt;&gt;",'New Tooling Jobs'!E$13:E$62,"&lt;&gt;Completed"),INDEX('New Tooling Jobs'!I$13:I$62,MATCH(96,'New Tooling Jobs'!AG$13:AG$62,0)),INDEX(Reorders!I$13:I$62,MATCH(96-COUNTIFS('New Tooling Jobs'!A$13:A$62,"&lt;&gt;",'New Tooling Jobs'!E$13:E$62,"&lt;&gt;Completed"),Reorders!AC$13:AC$62,0))),"")</f>
        <v/>
      </c>
    </row>
    <row r="106" ht="15" customHeight="1" s="25">
      <c r="A106" s="40">
        <f>IFERROR(IF(97&lt;=COUNTIFS('New Tooling Jobs'!A$13:A$62,"&lt;&gt;",'New Tooling Jobs'!E$13:E$62,"&lt;&gt;Completed"),INDEX('New Tooling Jobs'!A$13:A$62,MATCH(97,'New Tooling Jobs'!AG$13:AG$62,0)),INDEX(Reorders!A$13:A$62,MATCH(97-COUNTIFS('New Tooling Jobs'!A$13:A$62,"&lt;&gt;",'New Tooling Jobs'!E$13:E$62,"&lt;&gt;Completed"),Reorders!AC$13:AC$62,0))),"")</f>
        <v/>
      </c>
      <c r="B106" s="40">
        <f>IFERROR(IF(97&lt;=COUNTIFS('New Tooling Jobs'!A$13:A$62,"&lt;&gt;",'New Tooling Jobs'!E$13:E$62,"&lt;&gt;Completed"),IF(INDEX('New Tooling Jobs'!A$13:A$62,MATCH(97,'New Tooling Jobs'!AG$13:AG$62,0))&lt;&gt;"","New Tooling",""),IF(INDEX(Reorders!A$13:A$62,MATCH(97-COUNTIFS('New Tooling Jobs'!A$13:A$62,"&lt;&gt;",'New Tooling Jobs'!E$13:E$62,"&lt;&gt;Completed"),Reorders!AC$13:AC$62,0))&lt;&gt;"","Reorder","")),"")</f>
        <v/>
      </c>
      <c r="C106" s="41">
        <f>IFERROR(IF(97&lt;=COUNTIFS('New Tooling Jobs'!A$13:A$62,"&lt;&gt;",'New Tooling Jobs'!E$13:E$62,"&lt;&gt;Completed"),INDEX('New Tooling Jobs'!B$13:B$62,MATCH(97,'New Tooling Jobs'!AG$13:AG$62,0)),INDEX(Reorders!B$13:B$62,MATCH(97-COUNTIFS('New Tooling Jobs'!A$13:A$62,"&lt;&gt;",'New Tooling Jobs'!E$13:E$62,"&lt;&gt;Completed"),Reorders!AC$13:AC$62,0))),"")</f>
        <v/>
      </c>
      <c r="D106" s="41">
        <f>IFERROR(IF(97&lt;=COUNTIFS('New Tooling Jobs'!A$13:A$62,"&lt;&gt;",'New Tooling Jobs'!E$13:E$62,"&lt;&gt;Completed"),INDEX('New Tooling Jobs'!E$13:E$62,MATCH(97,'New Tooling Jobs'!AG$13:AG$62,0)),INDEX(Reorders!E$13:E$62,MATCH(97-COUNTIFS('New Tooling Jobs'!A$13:A$62,"&lt;&gt;",'New Tooling Jobs'!E$13:E$62,"&lt;&gt;Completed"),Reorders!AC$13:AC$62,0))),"")</f>
        <v/>
      </c>
      <c r="E106" s="40">
        <f>IFERROR(IF(97&lt;=COUNTIFS('New Tooling Jobs'!A$13:A$62,"&lt;&gt;",'New Tooling Jobs'!E$13:E$62,"&lt;&gt;Completed"),INDEX('New Tooling Jobs'!G$13:G$62,MATCH(97,'New Tooling Jobs'!AG$13:AG$62,0)),INDEX(Reorders!G$13:G$62,MATCH(97-COUNTIFS('New Tooling Jobs'!A$13:A$62,"&lt;&gt;",'New Tooling Jobs'!E$13:E$62,"&lt;&gt;Completed"),Reorders!AC$13:AC$62,0))),"")</f>
        <v/>
      </c>
      <c r="F106" s="40">
        <f>IFERROR(IF(97&lt;=COUNTIFS('New Tooling Jobs'!A$13:A$62,"&lt;&gt;",'New Tooling Jobs'!E$13:E$62,"&lt;&gt;Completed"),INDEX('New Tooling Jobs'!H$13:H$62,MATCH(97,'New Tooling Jobs'!AG$13:AG$62,0)),INDEX(Reorders!H$13:H$62,MATCH(97-COUNTIFS('New Tooling Jobs'!A$13:A$62,"&lt;&gt;",'New Tooling Jobs'!E$13:E$62,"&lt;&gt;Completed"),Reorders!AC$13:AC$62,0))),"")</f>
        <v/>
      </c>
      <c r="G106" s="41">
        <f>IFERROR(IF(97&lt;=COUNTIFS('New Tooling Jobs'!A$13:A$62,"&lt;&gt;",'New Tooling Jobs'!E$13:E$62,"&lt;&gt;Completed"),INDEX('New Tooling Jobs'!I$13:I$62,MATCH(97,'New Tooling Jobs'!AG$13:AG$62,0)),INDEX(Reorders!I$13:I$62,MATCH(97-COUNTIFS('New Tooling Jobs'!A$13:A$62,"&lt;&gt;",'New Tooling Jobs'!E$13:E$62,"&lt;&gt;Completed"),Reorders!AC$13:AC$62,0))),"")</f>
        <v/>
      </c>
    </row>
    <row r="107" ht="15" customHeight="1" s="25">
      <c r="A107" s="40">
        <f>IFERROR(IF(98&lt;=COUNTIFS('New Tooling Jobs'!A$13:A$62,"&lt;&gt;",'New Tooling Jobs'!E$13:E$62,"&lt;&gt;Completed"),INDEX('New Tooling Jobs'!A$13:A$62,MATCH(98,'New Tooling Jobs'!AG$13:AG$62,0)),INDEX(Reorders!A$13:A$62,MATCH(98-COUNTIFS('New Tooling Jobs'!A$13:A$62,"&lt;&gt;",'New Tooling Jobs'!E$13:E$62,"&lt;&gt;Completed"),Reorders!AC$13:AC$62,0))),"")</f>
        <v/>
      </c>
      <c r="B107" s="40">
        <f>IFERROR(IF(98&lt;=COUNTIFS('New Tooling Jobs'!A$13:A$62,"&lt;&gt;",'New Tooling Jobs'!E$13:E$62,"&lt;&gt;Completed"),IF(INDEX('New Tooling Jobs'!A$13:A$62,MATCH(98,'New Tooling Jobs'!AG$13:AG$62,0))&lt;&gt;"","New Tooling",""),IF(INDEX(Reorders!A$13:A$62,MATCH(98-COUNTIFS('New Tooling Jobs'!A$13:A$62,"&lt;&gt;",'New Tooling Jobs'!E$13:E$62,"&lt;&gt;Completed"),Reorders!AC$13:AC$62,0))&lt;&gt;"","Reorder","")),"")</f>
        <v/>
      </c>
      <c r="C107" s="41">
        <f>IFERROR(IF(98&lt;=COUNTIFS('New Tooling Jobs'!A$13:A$62,"&lt;&gt;",'New Tooling Jobs'!E$13:E$62,"&lt;&gt;Completed"),INDEX('New Tooling Jobs'!B$13:B$62,MATCH(98,'New Tooling Jobs'!AG$13:AG$62,0)),INDEX(Reorders!B$13:B$62,MATCH(98-COUNTIFS('New Tooling Jobs'!A$13:A$62,"&lt;&gt;",'New Tooling Jobs'!E$13:E$62,"&lt;&gt;Completed"),Reorders!AC$13:AC$62,0))),"")</f>
        <v/>
      </c>
      <c r="D107" s="41">
        <f>IFERROR(IF(98&lt;=COUNTIFS('New Tooling Jobs'!A$13:A$62,"&lt;&gt;",'New Tooling Jobs'!E$13:E$62,"&lt;&gt;Completed"),INDEX('New Tooling Jobs'!E$13:E$62,MATCH(98,'New Tooling Jobs'!AG$13:AG$62,0)),INDEX(Reorders!E$13:E$62,MATCH(98-COUNTIFS('New Tooling Jobs'!A$13:A$62,"&lt;&gt;",'New Tooling Jobs'!E$13:E$62,"&lt;&gt;Completed"),Reorders!AC$13:AC$62,0))),"")</f>
        <v/>
      </c>
      <c r="E107" s="40">
        <f>IFERROR(IF(98&lt;=COUNTIFS('New Tooling Jobs'!A$13:A$62,"&lt;&gt;",'New Tooling Jobs'!E$13:E$62,"&lt;&gt;Completed"),INDEX('New Tooling Jobs'!G$13:G$62,MATCH(98,'New Tooling Jobs'!AG$13:AG$62,0)),INDEX(Reorders!G$13:G$62,MATCH(98-COUNTIFS('New Tooling Jobs'!A$13:A$62,"&lt;&gt;",'New Tooling Jobs'!E$13:E$62,"&lt;&gt;Completed"),Reorders!AC$13:AC$62,0))),"")</f>
        <v/>
      </c>
      <c r="F107" s="40">
        <f>IFERROR(IF(98&lt;=COUNTIFS('New Tooling Jobs'!A$13:A$62,"&lt;&gt;",'New Tooling Jobs'!E$13:E$62,"&lt;&gt;Completed"),INDEX('New Tooling Jobs'!H$13:H$62,MATCH(98,'New Tooling Jobs'!AG$13:AG$62,0)),INDEX(Reorders!H$13:H$62,MATCH(98-COUNTIFS('New Tooling Jobs'!A$13:A$62,"&lt;&gt;",'New Tooling Jobs'!E$13:E$62,"&lt;&gt;Completed"),Reorders!AC$13:AC$62,0))),"")</f>
        <v/>
      </c>
      <c r="G107" s="41">
        <f>IFERROR(IF(98&lt;=COUNTIFS('New Tooling Jobs'!A$13:A$62,"&lt;&gt;",'New Tooling Jobs'!E$13:E$62,"&lt;&gt;Completed"),INDEX('New Tooling Jobs'!I$13:I$62,MATCH(98,'New Tooling Jobs'!AG$13:AG$62,0)),INDEX(Reorders!I$13:I$62,MATCH(98-COUNTIFS('New Tooling Jobs'!A$13:A$62,"&lt;&gt;",'New Tooling Jobs'!E$13:E$62,"&lt;&gt;Completed"),Reorders!AC$13:AC$62,0))),"")</f>
        <v/>
      </c>
    </row>
    <row r="108" ht="15" customHeight="1" s="25">
      <c r="A108" s="40">
        <f>IFERROR(IF(99&lt;=COUNTIFS('New Tooling Jobs'!A$13:A$62,"&lt;&gt;",'New Tooling Jobs'!E$13:E$62,"&lt;&gt;Completed"),INDEX('New Tooling Jobs'!A$13:A$62,MATCH(99,'New Tooling Jobs'!AG$13:AG$62,0)),INDEX(Reorders!A$13:A$62,MATCH(99-COUNTIFS('New Tooling Jobs'!A$13:A$62,"&lt;&gt;",'New Tooling Jobs'!E$13:E$62,"&lt;&gt;Completed"),Reorders!AC$13:AC$62,0))),"")</f>
        <v/>
      </c>
      <c r="B108" s="40">
        <f>IFERROR(IF(99&lt;=COUNTIFS('New Tooling Jobs'!A$13:A$62,"&lt;&gt;",'New Tooling Jobs'!E$13:E$62,"&lt;&gt;Completed"),IF(INDEX('New Tooling Jobs'!A$13:A$62,MATCH(99,'New Tooling Jobs'!AG$13:AG$62,0))&lt;&gt;"","New Tooling",""),IF(INDEX(Reorders!A$13:A$62,MATCH(99-COUNTIFS('New Tooling Jobs'!A$13:A$62,"&lt;&gt;",'New Tooling Jobs'!E$13:E$62,"&lt;&gt;Completed"),Reorders!AC$13:AC$62,0))&lt;&gt;"","Reorder","")),"")</f>
        <v/>
      </c>
      <c r="C108" s="41">
        <f>IFERROR(IF(99&lt;=COUNTIFS('New Tooling Jobs'!A$13:A$62,"&lt;&gt;",'New Tooling Jobs'!E$13:E$62,"&lt;&gt;Completed"),INDEX('New Tooling Jobs'!B$13:B$62,MATCH(99,'New Tooling Jobs'!AG$13:AG$62,0)),INDEX(Reorders!B$13:B$62,MATCH(99-COUNTIFS('New Tooling Jobs'!A$13:A$62,"&lt;&gt;",'New Tooling Jobs'!E$13:E$62,"&lt;&gt;Completed"),Reorders!AC$13:AC$62,0))),"")</f>
        <v/>
      </c>
      <c r="D108" s="41">
        <f>IFERROR(IF(99&lt;=COUNTIFS('New Tooling Jobs'!A$13:A$62,"&lt;&gt;",'New Tooling Jobs'!E$13:E$62,"&lt;&gt;Completed"),INDEX('New Tooling Jobs'!E$13:E$62,MATCH(99,'New Tooling Jobs'!AG$13:AG$62,0)),INDEX(Reorders!E$13:E$62,MATCH(99-COUNTIFS('New Tooling Jobs'!A$13:A$62,"&lt;&gt;",'New Tooling Jobs'!E$13:E$62,"&lt;&gt;Completed"),Reorders!AC$13:AC$62,0))),"")</f>
        <v/>
      </c>
      <c r="E108" s="40">
        <f>IFERROR(IF(99&lt;=COUNTIFS('New Tooling Jobs'!A$13:A$62,"&lt;&gt;",'New Tooling Jobs'!E$13:E$62,"&lt;&gt;Completed"),INDEX('New Tooling Jobs'!G$13:G$62,MATCH(99,'New Tooling Jobs'!AG$13:AG$62,0)),INDEX(Reorders!G$13:G$62,MATCH(99-COUNTIFS('New Tooling Jobs'!A$13:A$62,"&lt;&gt;",'New Tooling Jobs'!E$13:E$62,"&lt;&gt;Completed"),Reorders!AC$13:AC$62,0))),"")</f>
        <v/>
      </c>
      <c r="F108" s="40">
        <f>IFERROR(IF(99&lt;=COUNTIFS('New Tooling Jobs'!A$13:A$62,"&lt;&gt;",'New Tooling Jobs'!E$13:E$62,"&lt;&gt;Completed"),INDEX('New Tooling Jobs'!H$13:H$62,MATCH(99,'New Tooling Jobs'!AG$13:AG$62,0)),INDEX(Reorders!H$13:H$62,MATCH(99-COUNTIFS('New Tooling Jobs'!A$13:A$62,"&lt;&gt;",'New Tooling Jobs'!E$13:E$62,"&lt;&gt;Completed"),Reorders!AC$13:AC$62,0))),"")</f>
        <v/>
      </c>
      <c r="G108" s="41">
        <f>IFERROR(IF(99&lt;=COUNTIFS('New Tooling Jobs'!A$13:A$62,"&lt;&gt;",'New Tooling Jobs'!E$13:E$62,"&lt;&gt;Completed"),INDEX('New Tooling Jobs'!I$13:I$62,MATCH(99,'New Tooling Jobs'!AG$13:AG$62,0)),INDEX(Reorders!I$13:I$62,MATCH(99-COUNTIFS('New Tooling Jobs'!A$13:A$62,"&lt;&gt;",'New Tooling Jobs'!E$13:E$62,"&lt;&gt;Completed"),Reorders!AC$13:AC$62,0))),"")</f>
        <v/>
      </c>
    </row>
    <row r="109" ht="15" customHeight="1" s="25">
      <c r="A109" s="40">
        <f>IFERROR(IF(100&lt;=COUNTIFS('New Tooling Jobs'!A$13:A$62,"&lt;&gt;",'New Tooling Jobs'!E$13:E$62,"&lt;&gt;Completed"),INDEX('New Tooling Jobs'!A$13:A$62,MATCH(100,'New Tooling Jobs'!AG$13:AG$62,0)),INDEX(Reorders!A$13:A$62,MATCH(100-COUNTIFS('New Tooling Jobs'!A$13:A$62,"&lt;&gt;",'New Tooling Jobs'!E$13:E$62,"&lt;&gt;Completed"),Reorders!AC$13:AC$62,0))),"")</f>
        <v/>
      </c>
      <c r="B109" s="40">
        <f>IFERROR(IF(100&lt;=COUNTIFS('New Tooling Jobs'!A$13:A$62,"&lt;&gt;",'New Tooling Jobs'!E$13:E$62,"&lt;&gt;Completed"),IF(INDEX('New Tooling Jobs'!A$13:A$62,MATCH(100,'New Tooling Jobs'!AG$13:AG$62,0))&lt;&gt;"","New Tooling",""),IF(INDEX(Reorders!A$13:A$62,MATCH(100-COUNTIFS('New Tooling Jobs'!A$13:A$62,"&lt;&gt;",'New Tooling Jobs'!E$13:E$62,"&lt;&gt;Completed"),Reorders!AC$13:AC$62,0))&lt;&gt;"","Reorder","")),"")</f>
        <v/>
      </c>
      <c r="C109" s="41">
        <f>IFERROR(IF(100&lt;=COUNTIFS('New Tooling Jobs'!A$13:A$62,"&lt;&gt;",'New Tooling Jobs'!E$13:E$62,"&lt;&gt;Completed"),INDEX('New Tooling Jobs'!B$13:B$62,MATCH(100,'New Tooling Jobs'!AG$13:AG$62,0)),INDEX(Reorders!B$13:B$62,MATCH(100-COUNTIFS('New Tooling Jobs'!A$13:A$62,"&lt;&gt;",'New Tooling Jobs'!E$13:E$62,"&lt;&gt;Completed"),Reorders!AC$13:AC$62,0))),"")</f>
        <v/>
      </c>
      <c r="D109" s="41">
        <f>IFERROR(IF(100&lt;=COUNTIFS('New Tooling Jobs'!A$13:A$62,"&lt;&gt;",'New Tooling Jobs'!E$13:E$62,"&lt;&gt;Completed"),INDEX('New Tooling Jobs'!E$13:E$62,MATCH(100,'New Tooling Jobs'!AG$13:AG$62,0)),INDEX(Reorders!E$13:E$62,MATCH(100-COUNTIFS('New Tooling Jobs'!A$13:A$62,"&lt;&gt;",'New Tooling Jobs'!E$13:E$62,"&lt;&gt;Completed"),Reorders!AC$13:AC$62,0))),"")</f>
        <v/>
      </c>
      <c r="E109" s="40">
        <f>IFERROR(IF(100&lt;=COUNTIFS('New Tooling Jobs'!A$13:A$62,"&lt;&gt;",'New Tooling Jobs'!E$13:E$62,"&lt;&gt;Completed"),INDEX('New Tooling Jobs'!G$13:G$62,MATCH(100,'New Tooling Jobs'!AG$13:AG$62,0)),INDEX(Reorders!G$13:G$62,MATCH(100-COUNTIFS('New Tooling Jobs'!A$13:A$62,"&lt;&gt;",'New Tooling Jobs'!E$13:E$62,"&lt;&gt;Completed"),Reorders!AC$13:AC$62,0))),"")</f>
        <v/>
      </c>
      <c r="F109" s="40">
        <f>IFERROR(IF(100&lt;=COUNTIFS('New Tooling Jobs'!A$13:A$62,"&lt;&gt;",'New Tooling Jobs'!E$13:E$62,"&lt;&gt;Completed"),INDEX('New Tooling Jobs'!H$13:H$62,MATCH(100,'New Tooling Jobs'!AG$13:AG$62,0)),INDEX(Reorders!H$13:H$62,MATCH(100-COUNTIFS('New Tooling Jobs'!A$13:A$62,"&lt;&gt;",'New Tooling Jobs'!E$13:E$62,"&lt;&gt;Completed"),Reorders!AC$13:AC$62,0))),"")</f>
        <v/>
      </c>
      <c r="G109" s="41">
        <f>IFERROR(IF(100&lt;=COUNTIFS('New Tooling Jobs'!A$13:A$62,"&lt;&gt;",'New Tooling Jobs'!E$13:E$62,"&lt;&gt;Completed"),INDEX('New Tooling Jobs'!I$13:I$62,MATCH(100,'New Tooling Jobs'!AG$13:AG$62,0)),INDEX(Reorders!I$13:I$62,MATCH(100-COUNTIFS('New Tooling Jobs'!A$13:A$62,"&lt;&gt;",'New Tooling Jobs'!E$13:E$62,"&lt;&gt;Completed"),Reorders!AC$13:AC$62,0))),"")</f>
        <v/>
      </c>
    </row>
    <row r="110" ht="15" customHeight="1" s="25">
      <c r="A110" s="40" t="n"/>
      <c r="B110" s="40" t="n"/>
      <c r="C110" s="41" t="n"/>
      <c r="D110" s="41" t="n"/>
      <c r="E110" s="40" t="n"/>
      <c r="F110" s="40" t="n"/>
      <c r="G110" s="41" t="n"/>
    </row>
    <row r="111" ht="15" customHeight="1" s="25">
      <c r="A111" s="40" t="n"/>
      <c r="B111" s="40" t="n"/>
      <c r="C111" s="41" t="n"/>
      <c r="D111" s="41" t="n"/>
      <c r="E111" s="40" t="n"/>
      <c r="F111" s="40" t="n"/>
      <c r="G111" s="41" t="n"/>
    </row>
    <row r="112"/>
    <row r="113"/>
    <row r="114"/>
    <row r="115"/>
    <row r="116"/>
    <row r="117"/>
    <row r="118"/>
    <row r="119"/>
    <row r="120"/>
  </sheetData>
  <autoFilter ref="A9:G111"/>
  <mergeCells count="11">
    <mergeCell ref="E6:F6"/>
    <mergeCell ref="C6:D6"/>
    <mergeCell ref="A1:G1"/>
    <mergeCell ref="A3:G3"/>
    <mergeCell ref="C5:D5"/>
    <mergeCell ref="A5:B5"/>
    <mergeCell ref="G5:H5"/>
    <mergeCell ref="E5:F5"/>
    <mergeCell ref="A2:G2"/>
    <mergeCell ref="G6:H6"/>
    <mergeCell ref="A6:B6"/>
  </mergeCells>
  <conditionalFormatting sqref="A11:G111">
    <cfRule type="expression" rank="0" priority="2" equalAverage="0" aboveAverage="0" dxfId="13" text="" percent="0" bottom="0">
      <formula>$A11=""</formula>
    </cfRule>
    <cfRule type="expression" rank="0" priority="3" equalAverage="0" aboveAverage="0" dxfId="14" text="" percent="0" bottom="0">
      <formula>$D11="Completed"</formula>
    </cfRule>
  </conditionalFormatting>
  <conditionalFormatting sqref="D11:D111">
    <cfRule type="expression" rank="0" priority="4" equalAverage="0" aboveAverage="0" dxfId="15" text="" percent="0" bottom="0">
      <formula>EXACT($D11,"1. Quote Requested")</formula>
    </cfRule>
    <cfRule type="expression" rank="0" priority="5" equalAverage="0" aboveAverage="0" dxfId="16" text="" percent="0" bottom="0">
      <formula>EXACT($D11,"2. Quote Sent to Customer")</formula>
    </cfRule>
    <cfRule type="expression" rank="0" priority="6" equalAverage="0" aboveAverage="0" dxfId="17" text="" percent="0" bottom="0">
      <formula>EXACT($D11,"3. Customer PO Received")</formula>
    </cfRule>
    <cfRule type="expression" rank="0" priority="7" equalAverage="0" aboveAverage="0" dxfId="18" text="" percent="0" bottom="0">
      <formula>EXACT($D11,"4. PO Issued to Molder")</formula>
    </cfRule>
    <cfRule type="expression" rank="0" priority="8" equalAverage="0" aboveAverage="0" dxfId="19" text="" percent="0" bottom="0">
      <formula>EXACT($D11,"5. Mold in Production")</formula>
    </cfRule>
    <cfRule type="expression" rank="0" priority="9" equalAverage="0" aboveAverage="0" dxfId="20" text="" percent="0" bottom="0">
      <formula>EXACT($D11,"6. Sample / FAI Approval")</formula>
    </cfRule>
    <cfRule type="expression" rank="0" priority="10" equalAverage="0" aboveAverage="0" dxfId="21" text="" percent="0" bottom="0">
      <formula>EXACT($D11,"7. Production &amp; Shipping")</formula>
    </cfRule>
    <cfRule type="expression" rank="0" priority="11" equalAverage="0" aboveAverage="0" dxfId="22" text="" percent="0" bottom="0">
      <formula>EXACT($D11,"Completed")</formula>
    </cfRule>
    <cfRule type="expression" rank="0" priority="12" equalAverage="0" aboveAverage="0" dxfId="17" text="" percent="0" bottom="0">
      <formula>EXACT($D11,"1. Customer PO Received")</formula>
    </cfRule>
    <cfRule type="expression" rank="0" priority="13" equalAverage="0" aboveAverage="0" dxfId="18" text="" percent="0" bottom="0">
      <formula>EXACT($D11,"2. PO Issued to Molder")</formula>
    </cfRule>
    <cfRule type="expression" rank="0" priority="14" equalAverage="0" aboveAverage="0" dxfId="21" text="" percent="0" bottom="0">
      <formula>EXACT($D11,"3. Production &amp; Shipping")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AG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4" min="1" max="1"/>
    <col width="22" customWidth="1" style="24" min="2" max="3"/>
    <col width="24" customWidth="1" style="24" min="4" max="5"/>
    <col width="11" customWidth="1" style="24" min="6" max="6"/>
    <col width="14" customWidth="1" style="24" min="7" max="8"/>
    <col width="30" customWidth="1" style="24" min="9" max="9"/>
    <col width="13" customWidth="1" style="24" min="10" max="18"/>
    <col width="11" customWidth="1" style="24" min="19" max="19"/>
    <col width="22" customWidth="1" style="24" min="20" max="20"/>
    <col width="15" customWidth="1" style="24" min="21" max="21"/>
    <col width="24" customWidth="1" style="24" min="22" max="22"/>
    <col hidden="1" width="12" customWidth="1" style="24" min="23" max="23"/>
    <col hidden="1" width="11" customWidth="1" style="24" min="24" max="24"/>
  </cols>
  <sheetData>
    <row r="1" ht="22.05" customHeight="1" s="25">
      <c r="A1" s="26" t="inlineStr">
        <is>
          <t>New Tooling Jobs</t>
        </is>
      </c>
    </row>
    <row r="2" ht="15" customHeight="1" s="25">
      <c r="A2" s="27" t="inlineStr">
        <is>
          <t>Full 8-stage lifecycle: quote -&gt; PO -&gt; mold build -&gt; sample -&gt; production. Update only the white cells.</t>
        </is>
      </c>
    </row>
    <row r="12" ht="31.5" customHeight="1" s="25">
      <c r="A12" s="37" t="inlineStr">
        <is>
          <t>Job #</t>
        </is>
      </c>
      <c r="B12" s="37" t="inlineStr">
        <is>
          <t>Customer</t>
        </is>
      </c>
      <c r="C12" s="37" t="inlineStr">
        <is>
          <t>Part Name</t>
        </is>
      </c>
      <c r="D12" s="37" t="inlineStr">
        <is>
          <t>Molder</t>
        </is>
      </c>
      <c r="E12" s="37" t="inlineStr">
        <is>
          <t>Stage</t>
        </is>
      </c>
      <c r="F12" s="37" t="inlineStr">
        <is>
          <t>Owner</t>
        </is>
      </c>
      <c r="G12" s="37" t="inlineStr">
        <is>
          <t>Customer PO #</t>
        </is>
      </c>
      <c r="H12" s="37" t="inlineStr">
        <is>
          <t>Molder PO #</t>
        </is>
      </c>
      <c r="I12" s="37" t="inlineStr">
        <is>
          <t>Next Action / Waiting On</t>
        </is>
      </c>
      <c r="J12" s="37" t="inlineStr">
        <is>
          <t>Customer PO ($)</t>
        </is>
      </c>
      <c r="K12" s="37" t="inlineStr">
        <is>
          <t>Molder PO ($)</t>
        </is>
      </c>
      <c r="L12" s="37" t="inlineStr">
        <is>
          <t>Quote Sent Date</t>
        </is>
      </c>
      <c r="M12" s="37" t="inlineStr">
        <is>
          <t>Customer PO Date</t>
        </is>
      </c>
      <c r="N12" s="37" t="inlineStr">
        <is>
          <t>Molder PO Date</t>
        </is>
      </c>
      <c r="O12" s="37" t="inlineStr">
        <is>
          <t>Mold Ready Date</t>
        </is>
      </c>
      <c r="P12" s="37" t="inlineStr">
        <is>
          <t>Sample Ship Date</t>
        </is>
      </c>
      <c r="Q12" s="37" t="inlineStr">
        <is>
          <t>Sample Approval Date</t>
        </is>
      </c>
      <c r="R12" s="37" t="inlineStr">
        <is>
          <t>Ship-By Date</t>
        </is>
      </c>
      <c r="S12" s="37" t="inlineStr">
        <is>
          <t>Sample Carrier</t>
        </is>
      </c>
      <c r="T12" s="37" t="inlineStr">
        <is>
          <t>Sample Tracking #</t>
        </is>
      </c>
      <c r="U12" s="37" t="inlineStr">
        <is>
          <t>Last Production Ship</t>
        </is>
      </c>
      <c r="V12" s="37" t="inlineStr">
        <is>
          <t>Notes</t>
        </is>
      </c>
      <c r="W12" s="37" t="inlineStr">
        <is>
          <t>Next Deadline</t>
        </is>
      </c>
      <c r="X12" s="37" t="inlineStr">
        <is>
          <t>Days Until Deadline</t>
        </is>
      </c>
      <c r="Y12" s="24" t="inlineStr">
        <is>
          <t>Cust Invoice #</t>
        </is>
      </c>
      <c r="Z12" s="24" t="inlineStr">
        <is>
          <t>Cust Invoice Date</t>
        </is>
      </c>
      <c r="AA12" s="24" t="inlineStr">
        <is>
          <t>Cust Invoice Sent Date</t>
        </is>
      </c>
      <c r="AB12" s="24" t="inlineStr">
        <is>
          <t>Cust Invoice Status</t>
        </is>
      </c>
      <c r="AC12" s="24" t="inlineStr">
        <is>
          <t>Molder Invoice #</t>
        </is>
      </c>
      <c r="AD12" s="24" t="inlineStr">
        <is>
          <t>Molder Invoice Date</t>
        </is>
      </c>
      <c r="AE12" s="24" t="inlineStr">
        <is>
          <t>Molder Invoice Amount ($)</t>
        </is>
      </c>
      <c r="AF12" s="24" t="inlineStr">
        <is>
          <t>Molder Invoice Status</t>
        </is>
      </c>
      <c r="AG12" t="inlineStr">
        <is>
          <t>_Seq</t>
        </is>
      </c>
    </row>
    <row r="13" ht="15" customHeight="1" s="25">
      <c r="A13" s="40" t="inlineStr">
        <is>
          <t>JOB-2026-101</t>
        </is>
      </c>
      <c r="B13" s="40" t="inlineStr">
        <is>
          <t>Acme Industries</t>
        </is>
      </c>
      <c r="C13" s="41" t="inlineStr">
        <is>
          <t>Acme Lever Cap</t>
        </is>
      </c>
      <c r="D13" s="40" t="inlineStr">
        <is>
          <t>Precision Plastics LLC</t>
        </is>
      </c>
      <c r="E13" s="40" t="inlineStr">
        <is>
          <t>2. Quote Sent to Customer</t>
        </is>
      </c>
      <c r="F13" s="40" t="inlineStr">
        <is>
          <t>Andrew</t>
        </is>
      </c>
      <c r="G13" s="40" t="n"/>
      <c r="H13" s="40" t="n"/>
      <c r="I13" s="41" t="inlineStr">
        <is>
          <t>Awaiting customer PO</t>
        </is>
      </c>
      <c r="J13" s="44" t="n">
        <v>12500</v>
      </c>
      <c r="K13" s="44" t="n">
        <v>8200</v>
      </c>
      <c r="L13" s="45" t="n">
        <v>46132</v>
      </c>
      <c r="M13" s="45" t="n"/>
      <c r="N13" s="45" t="n"/>
      <c r="O13" s="45" t="n"/>
      <c r="P13" s="45" t="n"/>
      <c r="Q13" s="45" t="n"/>
      <c r="R13" s="45" t="n"/>
      <c r="S13" s="40" t="n"/>
      <c r="T13" s="41" t="n"/>
      <c r="U13" s="45">
        <f>IFERROR(IF(maxifs('Production Log'!A:A,'Production Log'!B:B,A13,'Production Log'!C:C,"Production")=0,IF(maxifs('Production Log'!A:A,'Production Log'!B:B,A13)=0,"",maxifs('Production Log'!A:A,'Production Log'!B:B,A13)),maxifs('Production Log'!A:A,'Production Log'!B:B,A13,'Production Log'!C:C,"Production")),"")</f>
        <v/>
      </c>
      <c r="V13" s="41" t="n"/>
      <c r="W13" s="45">
        <f>IF(E13="Completed","",IF(MIN(O13,Q13,R13)=0,"",MIN(O13,Q13,R13)))</f>
        <v/>
      </c>
      <c r="X13" s="46">
        <f>IF(W13="","",W13-TODAY())</f>
        <v/>
      </c>
      <c r="AG13">
        <f>IF(AND(A13&lt;&gt;"",E13&lt;&gt;"Completed"),COUNTIFS(A$13:A13,"&lt;&gt;",E$13:E13,"&lt;&gt;Completed"),"")</f>
        <v/>
      </c>
    </row>
    <row r="14" ht="15" customHeight="1" s="25">
      <c r="A14" s="40" t="inlineStr">
        <is>
          <t>JOB-2026-102</t>
        </is>
      </c>
      <c r="B14" s="40" t="inlineStr">
        <is>
          <t>Beacon Electronics</t>
        </is>
      </c>
      <c r="C14" s="41" t="inlineStr">
        <is>
          <t>Beacon Cover Rev3</t>
        </is>
      </c>
      <c r="D14" s="40" t="inlineStr">
        <is>
          <t>Summit Mold Works</t>
        </is>
      </c>
      <c r="E14" s="40" t="inlineStr">
        <is>
          <t>4. PO Issued to Molder</t>
        </is>
      </c>
      <c r="F14" s="40" t="inlineStr">
        <is>
          <t>Andrew</t>
        </is>
      </c>
      <c r="G14" s="40" t="inlineStr">
        <is>
          <t>PO-BE-3411</t>
        </is>
      </c>
      <c r="H14" s="40" t="inlineStr">
        <is>
          <t>PO-SUM-0992</t>
        </is>
      </c>
      <c r="I14" s="41" t="inlineStr">
        <is>
          <t>Mold kickoff meeting 5/4</t>
        </is>
      </c>
      <c r="J14" s="44" t="n">
        <v>48500</v>
      </c>
      <c r="K14" s="44" t="n">
        <v>32400</v>
      </c>
      <c r="L14" s="45" t="n">
        <v>46092</v>
      </c>
      <c r="M14" s="45" t="n">
        <v>46109</v>
      </c>
      <c r="N14" s="45" t="n">
        <v>46114</v>
      </c>
      <c r="O14" s="45" t="n">
        <v>46188</v>
      </c>
      <c r="P14" s="45" t="n"/>
      <c r="Q14" s="45" t="n"/>
      <c r="R14" s="45" t="n">
        <v>46223</v>
      </c>
      <c r="S14" s="40" t="n"/>
      <c r="T14" s="41" t="n"/>
      <c r="U14" s="45">
        <f>IFERROR(IF(maxifs('Production Log'!A:A,'Production Log'!B:B,A14,'Production Log'!C:C,"Production")=0,IF(maxifs('Production Log'!A:A,'Production Log'!B:B,A14)=0,"",maxifs('Production Log'!A:A,'Production Log'!B:B,A14)),maxifs('Production Log'!A:A,'Production Log'!B:B,A14,'Production Log'!C:C,"Production")),"")</f>
        <v/>
      </c>
      <c r="V14" s="41" t="n"/>
      <c r="W14" s="45">
        <f>IF(E14="Completed","",IF(MIN(O14,Q14,R14)=0,"",MIN(O14,Q14,R14)))</f>
        <v/>
      </c>
      <c r="X14" s="46">
        <f>IF(W14="","",W14-TODAY())</f>
        <v/>
      </c>
      <c r="AG14">
        <f>IF(AND(A14&lt;&gt;"",E14&lt;&gt;"Completed"),COUNTIFS(A$13:A14,"&lt;&gt;",E$13:E14,"&lt;&gt;Completed"),"")</f>
        <v/>
      </c>
    </row>
    <row r="15" ht="15" customHeight="1" s="25">
      <c r="A15" s="40" t="inlineStr">
        <is>
          <t>JOB-2026-103</t>
        </is>
      </c>
      <c r="B15" s="40" t="inlineStr">
        <is>
          <t>Drift Medical</t>
        </is>
      </c>
      <c r="C15" s="41" t="inlineStr">
        <is>
          <t>Drift Connector v2</t>
        </is>
      </c>
      <c r="D15" s="40" t="inlineStr">
        <is>
          <t>Precision Plastics LLC</t>
        </is>
      </c>
      <c r="E15" s="40" t="inlineStr">
        <is>
          <t>6. Sample / FAI Approval</t>
        </is>
      </c>
      <c r="F15" s="40" t="inlineStr">
        <is>
          <t>Sara</t>
        </is>
      </c>
      <c r="G15" s="40" t="inlineStr">
        <is>
          <t>PO-DM-2210</t>
        </is>
      </c>
      <c r="H15" s="40" t="inlineStr">
        <is>
          <t>PO-PP-1145</t>
        </is>
      </c>
      <c r="I15" s="41" t="inlineStr">
        <is>
          <t>Awaiting customer FAI sign-off</t>
        </is>
      </c>
      <c r="J15" s="44" t="n">
        <v>67000</v>
      </c>
      <c r="K15" s="44" t="n">
        <v>41000</v>
      </c>
      <c r="L15" s="45" t="n">
        <v>46037</v>
      </c>
      <c r="M15" s="45" t="n">
        <v>46054</v>
      </c>
      <c r="N15" s="45" t="n">
        <v>46058</v>
      </c>
      <c r="O15" s="45" t="n">
        <v>46122</v>
      </c>
      <c r="P15" s="45" t="n">
        <v>46115</v>
      </c>
      <c r="Q15" s="45" t="n"/>
      <c r="R15" s="45" t="n">
        <v>46167</v>
      </c>
      <c r="S15" s="40" t="inlineStr">
        <is>
          <t>UPS</t>
        </is>
      </c>
      <c r="T15" s="41" t="inlineStr">
        <is>
          <t>1Z999AA10ABCDEF123</t>
        </is>
      </c>
      <c r="U15" s="45">
        <f>IFERROR(IF(maxifs('Production Log'!A:A,'Production Log'!B:B,A15,'Production Log'!C:C,"Production")=0,IF(maxifs('Production Log'!A:A,'Production Log'!B:B,A15)=0,"",maxifs('Production Log'!A:A,'Production Log'!B:B,A15)),maxifs('Production Log'!A:A,'Production Log'!B:B,A15,'Production Log'!C:C,"Production")),"")</f>
        <v/>
      </c>
      <c r="V15" s="41" t="n"/>
      <c r="W15" s="45">
        <f>IF(E15="Completed","",IF(MIN(O15,Q15,R15)=0,"",MIN(O15,Q15,R15)))</f>
        <v/>
      </c>
      <c r="X15" s="46">
        <f>IF(W15="","",W15-TODAY())</f>
        <v/>
      </c>
      <c r="AG15">
        <f>IF(AND(A15&lt;&gt;"",E15&lt;&gt;"Completed"),COUNTIFS(A$13:A15,"&lt;&gt;",E$13:E15,"&lt;&gt;Completed"),"")</f>
        <v/>
      </c>
    </row>
    <row r="16" ht="23.85" customHeight="1" s="25">
      <c r="A16" s="40" t="inlineStr">
        <is>
          <t>JOB-2026-105</t>
        </is>
      </c>
      <c r="B16" s="40" t="inlineStr">
        <is>
          <t>Acme Industries</t>
        </is>
      </c>
      <c r="C16" s="41" t="inlineStr">
        <is>
          <t>Acme Bracket B2</t>
        </is>
      </c>
      <c r="D16" s="40" t="inlineStr">
        <is>
          <t>Summit Mold Works</t>
        </is>
      </c>
      <c r="E16" s="40" t="inlineStr">
        <is>
          <t>1. Quote Requested</t>
        </is>
      </c>
      <c r="F16" s="40" t="inlineStr">
        <is>
          <t>Sara</t>
        </is>
      </c>
      <c r="G16" s="40" t="n"/>
      <c r="H16" s="40" t="n"/>
      <c r="I16" s="41" t="inlineStr">
        <is>
          <t>Waiting on molder quote (requested 4/22)</t>
        </is>
      </c>
      <c r="J16" s="44" t="n"/>
      <c r="K16" s="44" t="n"/>
      <c r="L16" s="45" t="n"/>
      <c r="M16" s="45" t="n"/>
      <c r="N16" s="45" t="n"/>
      <c r="O16" s="45" t="n"/>
      <c r="P16" s="45" t="n"/>
      <c r="Q16" s="45" t="n"/>
      <c r="R16" s="45" t="n"/>
      <c r="S16" s="40" t="n"/>
      <c r="T16" s="41" t="n"/>
      <c r="U16" s="45">
        <f>IFERROR(IF(maxifs('Production Log'!A:A,'Production Log'!B:B,A16,'Production Log'!C:C,"Production")=0,IF(maxifs('Production Log'!A:A,'Production Log'!B:B,A16)=0,"",maxifs('Production Log'!A:A,'Production Log'!B:B,A16)),maxifs('Production Log'!A:A,'Production Log'!B:B,A16,'Production Log'!C:C,"Production")),"")</f>
        <v/>
      </c>
      <c r="V16" s="41" t="n"/>
      <c r="W16" s="45">
        <f>IF(E16="Completed","",IF(MIN(O16,Q16,R16)=0,"",MIN(O16,Q16,R16)))</f>
        <v/>
      </c>
      <c r="X16" s="46">
        <f>IF(W16="","",W16-TODAY())</f>
        <v/>
      </c>
      <c r="AG16">
        <f>IF(AND(A16&lt;&gt;"",E16&lt;&gt;"Completed"),COUNTIFS(A$13:A16,"&lt;&gt;",E$13:E16,"&lt;&gt;Completed"),"")</f>
        <v/>
      </c>
    </row>
    <row r="17" ht="15" customHeight="1" s="25">
      <c r="A17" s="40" t="n"/>
      <c r="B17" s="40" t="n"/>
      <c r="C17" s="41" t="n"/>
      <c r="D17" s="40" t="n"/>
      <c r="E17" s="40" t="n"/>
      <c r="F17" s="40" t="n"/>
      <c r="G17" s="40" t="n"/>
      <c r="H17" s="40" t="n"/>
      <c r="I17" s="41" t="n"/>
      <c r="J17" s="44" t="n"/>
      <c r="K17" s="44" t="n"/>
      <c r="L17" s="45" t="n"/>
      <c r="M17" s="45" t="n"/>
      <c r="N17" s="45" t="n"/>
      <c r="O17" s="45" t="n"/>
      <c r="P17" s="45" t="n"/>
      <c r="Q17" s="45" t="n"/>
      <c r="R17" s="45" t="n"/>
      <c r="S17" s="40" t="n"/>
      <c r="T17" s="41" t="n"/>
      <c r="U17" s="45">
        <f>IFERROR(IF(maxifs('Production Log'!A:A,'Production Log'!B:B,A17,'Production Log'!C:C,"Production")=0,IF(maxifs('Production Log'!A:A,'Production Log'!B:B,A17)=0,"",maxifs('Production Log'!A:A,'Production Log'!B:B,A17)),maxifs('Production Log'!A:A,'Production Log'!B:B,A17,'Production Log'!C:C,"Production")),"")</f>
        <v/>
      </c>
      <c r="V17" s="41" t="n"/>
      <c r="W17" s="45">
        <f>IF(E17="Completed","",IF(MIN(O17,Q17,R17)=0,"",MIN(O17,Q17,R17)))</f>
        <v/>
      </c>
      <c r="X17" s="46">
        <f>IF(W17="","",W17-TODAY())</f>
        <v/>
      </c>
      <c r="AG17">
        <f>IF(AND(A17&lt;&gt;"",E17&lt;&gt;"Completed"),COUNTIFS(A$13:A17,"&lt;&gt;",E$13:E17,"&lt;&gt;Completed"),"")</f>
        <v/>
      </c>
    </row>
    <row r="18" ht="15" customHeight="1" s="25">
      <c r="A18" s="40" t="n"/>
      <c r="B18" s="40" t="n"/>
      <c r="C18" s="41" t="n"/>
      <c r="D18" s="40" t="n"/>
      <c r="E18" s="40" t="n"/>
      <c r="F18" s="40" t="n"/>
      <c r="G18" s="40" t="n"/>
      <c r="H18" s="40" t="n"/>
      <c r="I18" s="41" t="n"/>
      <c r="J18" s="44" t="n"/>
      <c r="K18" s="44" t="n"/>
      <c r="L18" s="45" t="n"/>
      <c r="M18" s="45" t="n"/>
      <c r="N18" s="45" t="n"/>
      <c r="O18" s="45" t="n"/>
      <c r="P18" s="45" t="n"/>
      <c r="Q18" s="45" t="n"/>
      <c r="R18" s="45" t="n"/>
      <c r="S18" s="40" t="n"/>
      <c r="T18" s="41" t="n"/>
      <c r="U18" s="45">
        <f>IFERROR(IF(maxifs('Production Log'!A:A,'Production Log'!B:B,A18,'Production Log'!C:C,"Production")=0,IF(maxifs('Production Log'!A:A,'Production Log'!B:B,A18)=0,"",maxifs('Production Log'!A:A,'Production Log'!B:B,A18)),maxifs('Production Log'!A:A,'Production Log'!B:B,A18,'Production Log'!C:C,"Production")),"")</f>
        <v/>
      </c>
      <c r="V18" s="41" t="n"/>
      <c r="W18" s="45">
        <f>IF(E18="Completed","",IF(MIN(O18,Q18,R18)=0,"",MIN(O18,Q18,R18)))</f>
        <v/>
      </c>
      <c r="X18" s="46">
        <f>IF(W18="","",W18-TODAY())</f>
        <v/>
      </c>
      <c r="AG18">
        <f>IF(AND(A18&lt;&gt;"",E18&lt;&gt;"Completed"),COUNTIFS(A$13:A18,"&lt;&gt;",E$13:E18,"&lt;&gt;Completed"),"")</f>
        <v/>
      </c>
    </row>
    <row r="19" ht="15" customHeight="1" s="25">
      <c r="A19" s="40" t="n"/>
      <c r="B19" s="40" t="n"/>
      <c r="C19" s="41" t="n"/>
      <c r="D19" s="40" t="n"/>
      <c r="E19" s="40" t="n"/>
      <c r="F19" s="40" t="n"/>
      <c r="G19" s="40" t="n"/>
      <c r="H19" s="40" t="n"/>
      <c r="I19" s="41" t="n"/>
      <c r="J19" s="44" t="n"/>
      <c r="K19" s="44" t="n"/>
      <c r="L19" s="45" t="n"/>
      <c r="M19" s="45" t="n"/>
      <c r="N19" s="45" t="n"/>
      <c r="O19" s="45" t="n"/>
      <c r="P19" s="45" t="n"/>
      <c r="Q19" s="45" t="n"/>
      <c r="R19" s="45" t="n"/>
      <c r="S19" s="40" t="n"/>
      <c r="T19" s="41" t="n"/>
      <c r="U19" s="45">
        <f>IFERROR(IF(maxifs('Production Log'!A:A,'Production Log'!B:B,A19,'Production Log'!C:C,"Production")=0,IF(maxifs('Production Log'!A:A,'Production Log'!B:B,A19)=0,"",maxifs('Production Log'!A:A,'Production Log'!B:B,A19)),maxifs('Production Log'!A:A,'Production Log'!B:B,A19,'Production Log'!C:C,"Production")),"")</f>
        <v/>
      </c>
      <c r="V19" s="41" t="n"/>
      <c r="W19" s="45">
        <f>IF(E19="Completed","",IF(MIN(O19,Q19,R19)=0,"",MIN(O19,Q19,R19)))</f>
        <v/>
      </c>
      <c r="X19" s="46">
        <f>IF(W19="","",W19-TODAY())</f>
        <v/>
      </c>
      <c r="AG19">
        <f>IF(AND(A19&lt;&gt;"",E19&lt;&gt;"Completed"),COUNTIFS(A$13:A19,"&lt;&gt;",E$13:E19,"&lt;&gt;Completed"),"")</f>
        <v/>
      </c>
    </row>
    <row r="20" ht="15" customHeight="1" s="25">
      <c r="A20" s="40" t="n"/>
      <c r="B20" s="40" t="n"/>
      <c r="C20" s="41" t="n"/>
      <c r="D20" s="40" t="n"/>
      <c r="E20" s="40" t="n"/>
      <c r="F20" s="40" t="n"/>
      <c r="G20" s="40" t="n"/>
      <c r="H20" s="40" t="n"/>
      <c r="I20" s="41" t="n"/>
      <c r="J20" s="44" t="n"/>
      <c r="K20" s="44" t="n"/>
      <c r="L20" s="45" t="n"/>
      <c r="M20" s="45" t="n"/>
      <c r="N20" s="45" t="n"/>
      <c r="O20" s="45" t="n"/>
      <c r="P20" s="45" t="n"/>
      <c r="Q20" s="45" t="n"/>
      <c r="R20" s="45" t="n"/>
      <c r="S20" s="40" t="n"/>
      <c r="T20" s="41" t="n"/>
      <c r="U20" s="45">
        <f>IFERROR(IF(maxifs('Production Log'!A:A,'Production Log'!B:B,A20,'Production Log'!C:C,"Production")=0,IF(maxifs('Production Log'!A:A,'Production Log'!B:B,A20)=0,"",maxifs('Production Log'!A:A,'Production Log'!B:B,A20)),maxifs('Production Log'!A:A,'Production Log'!B:B,A20,'Production Log'!C:C,"Production")),"")</f>
        <v/>
      </c>
      <c r="V20" s="41" t="n"/>
      <c r="W20" s="45">
        <f>IF(E20="Completed","",IF(MIN(O20,Q20,R20)=0,"",MIN(O20,Q20,R20)))</f>
        <v/>
      </c>
      <c r="X20" s="46">
        <f>IF(W20="","",W20-TODAY())</f>
        <v/>
      </c>
      <c r="AG20">
        <f>IF(AND(A20&lt;&gt;"",E20&lt;&gt;"Completed"),COUNTIFS(A$13:A20,"&lt;&gt;",E$13:E20,"&lt;&gt;Completed"),"")</f>
        <v/>
      </c>
    </row>
    <row r="21" ht="15" customHeight="1" s="25">
      <c r="A21" s="40" t="n"/>
      <c r="B21" s="40" t="n"/>
      <c r="C21" s="41" t="n"/>
      <c r="D21" s="40" t="n"/>
      <c r="E21" s="40" t="n"/>
      <c r="F21" s="40" t="n"/>
      <c r="G21" s="40" t="n"/>
      <c r="H21" s="40" t="n"/>
      <c r="I21" s="41" t="n"/>
      <c r="J21" s="44" t="n"/>
      <c r="K21" s="44" t="n"/>
      <c r="L21" s="45" t="n"/>
      <c r="M21" s="45" t="n"/>
      <c r="N21" s="45" t="n"/>
      <c r="O21" s="45" t="n"/>
      <c r="P21" s="45" t="n"/>
      <c r="Q21" s="45" t="n"/>
      <c r="R21" s="45" t="n"/>
      <c r="S21" s="40" t="n"/>
      <c r="T21" s="41" t="n"/>
      <c r="U21" s="45">
        <f>IFERROR(IF(maxifs('Production Log'!A:A,'Production Log'!B:B,A21,'Production Log'!C:C,"Production")=0,IF(maxifs('Production Log'!A:A,'Production Log'!B:B,A21)=0,"",maxifs('Production Log'!A:A,'Production Log'!B:B,A21)),maxifs('Production Log'!A:A,'Production Log'!B:B,A21,'Production Log'!C:C,"Production")),"")</f>
        <v/>
      </c>
      <c r="V21" s="41" t="n"/>
      <c r="W21" s="45">
        <f>IF(E21="Completed","",IF(MIN(O21,Q21,R21)=0,"",MIN(O21,Q21,R21)))</f>
        <v/>
      </c>
      <c r="X21" s="46">
        <f>IF(W21="","",W21-TODAY())</f>
        <v/>
      </c>
      <c r="AG21">
        <f>IF(AND(A21&lt;&gt;"",E21&lt;&gt;"Completed"),COUNTIFS(A$13:A21,"&lt;&gt;",E$13:E21,"&lt;&gt;Completed"),"")</f>
        <v/>
      </c>
    </row>
    <row r="22" ht="15" customHeight="1" s="25">
      <c r="A22" s="40" t="n"/>
      <c r="B22" s="40" t="n"/>
      <c r="C22" s="41" t="n"/>
      <c r="D22" s="40" t="n"/>
      <c r="E22" s="40" t="n"/>
      <c r="F22" s="40" t="n"/>
      <c r="G22" s="40" t="n"/>
      <c r="H22" s="40" t="n"/>
      <c r="I22" s="41" t="n"/>
      <c r="J22" s="44" t="n"/>
      <c r="K22" s="44" t="n"/>
      <c r="L22" s="45" t="n"/>
      <c r="M22" s="45" t="n"/>
      <c r="N22" s="45" t="n"/>
      <c r="O22" s="45" t="n"/>
      <c r="P22" s="45" t="n"/>
      <c r="Q22" s="45" t="n"/>
      <c r="R22" s="45" t="n"/>
      <c r="S22" s="40" t="n"/>
      <c r="T22" s="41" t="n"/>
      <c r="U22" s="45">
        <f>IFERROR(IF(maxifs('Production Log'!A:A,'Production Log'!B:B,A22,'Production Log'!C:C,"Production")=0,IF(maxifs('Production Log'!A:A,'Production Log'!B:B,A22)=0,"",maxifs('Production Log'!A:A,'Production Log'!B:B,A22)),maxifs('Production Log'!A:A,'Production Log'!B:B,A22,'Production Log'!C:C,"Production")),"")</f>
        <v/>
      </c>
      <c r="V22" s="41" t="n"/>
      <c r="W22" s="45">
        <f>IF(E22="Completed","",IF(MIN(O22,Q22,R22)=0,"",MIN(O22,Q22,R22)))</f>
        <v/>
      </c>
      <c r="X22" s="46">
        <f>IF(W22="","",W22-TODAY())</f>
        <v/>
      </c>
      <c r="AG22">
        <f>IF(AND(A22&lt;&gt;"",E22&lt;&gt;"Completed"),COUNTIFS(A$13:A22,"&lt;&gt;",E$13:E22,"&lt;&gt;Completed"),"")</f>
        <v/>
      </c>
    </row>
    <row r="23" ht="15" customHeight="1" s="25">
      <c r="A23" s="40" t="n"/>
      <c r="B23" s="40" t="n"/>
      <c r="C23" s="41" t="n"/>
      <c r="D23" s="40" t="n"/>
      <c r="E23" s="40" t="n"/>
      <c r="F23" s="40" t="n"/>
      <c r="G23" s="40" t="n"/>
      <c r="H23" s="40" t="n"/>
      <c r="I23" s="41" t="n"/>
      <c r="J23" s="44" t="n"/>
      <c r="K23" s="44" t="n"/>
      <c r="L23" s="45" t="n"/>
      <c r="M23" s="45" t="n"/>
      <c r="N23" s="45" t="n"/>
      <c r="O23" s="45" t="n"/>
      <c r="P23" s="45" t="n"/>
      <c r="Q23" s="45" t="n"/>
      <c r="R23" s="45" t="n"/>
      <c r="S23" s="40" t="n"/>
      <c r="T23" s="41" t="n"/>
      <c r="U23" s="45">
        <f>IFERROR(IF(maxifs('Production Log'!A:A,'Production Log'!B:B,A23,'Production Log'!C:C,"Production")=0,IF(maxifs('Production Log'!A:A,'Production Log'!B:B,A23)=0,"",maxifs('Production Log'!A:A,'Production Log'!B:B,A23)),maxifs('Production Log'!A:A,'Production Log'!B:B,A23,'Production Log'!C:C,"Production")),"")</f>
        <v/>
      </c>
      <c r="V23" s="41" t="n"/>
      <c r="W23" s="45">
        <f>IF(E23="Completed","",IF(MIN(O23,Q23,R23)=0,"",MIN(O23,Q23,R23)))</f>
        <v/>
      </c>
      <c r="X23" s="46">
        <f>IF(W23="","",W23-TODAY())</f>
        <v/>
      </c>
      <c r="AG23">
        <f>IF(AND(A23&lt;&gt;"",E23&lt;&gt;"Completed"),COUNTIFS(A$13:A23,"&lt;&gt;",E$13:E23,"&lt;&gt;Completed"),"")</f>
        <v/>
      </c>
    </row>
    <row r="24" ht="15" customHeight="1" s="25">
      <c r="A24" s="40" t="n"/>
      <c r="B24" s="40" t="n"/>
      <c r="C24" s="41" t="n"/>
      <c r="D24" s="40" t="n"/>
      <c r="E24" s="40" t="n"/>
      <c r="F24" s="40" t="n"/>
      <c r="G24" s="40" t="n"/>
      <c r="H24" s="40" t="n"/>
      <c r="I24" s="41" t="n"/>
      <c r="J24" s="44" t="n"/>
      <c r="K24" s="44" t="n"/>
      <c r="L24" s="45" t="n"/>
      <c r="M24" s="45" t="n"/>
      <c r="N24" s="45" t="n"/>
      <c r="O24" s="45" t="n"/>
      <c r="P24" s="45" t="n"/>
      <c r="Q24" s="45" t="n"/>
      <c r="R24" s="45" t="n"/>
      <c r="S24" s="40" t="n"/>
      <c r="T24" s="41" t="n"/>
      <c r="U24" s="45">
        <f>IFERROR(IF(maxifs('Production Log'!A:A,'Production Log'!B:B,A24,'Production Log'!C:C,"Production")=0,IF(maxifs('Production Log'!A:A,'Production Log'!B:B,A24)=0,"",maxifs('Production Log'!A:A,'Production Log'!B:B,A24)),maxifs('Production Log'!A:A,'Production Log'!B:B,A24,'Production Log'!C:C,"Production")),"")</f>
        <v/>
      </c>
      <c r="V24" s="41" t="n"/>
      <c r="W24" s="45">
        <f>IF(E24="Completed","",IF(MIN(O24,Q24,R24)=0,"",MIN(O24,Q24,R24)))</f>
        <v/>
      </c>
      <c r="X24" s="46">
        <f>IF(W24="","",W24-TODAY())</f>
        <v/>
      </c>
      <c r="AG24">
        <f>IF(AND(A24&lt;&gt;"",E24&lt;&gt;"Completed"),COUNTIFS(A$13:A24,"&lt;&gt;",E$13:E24,"&lt;&gt;Completed"),"")</f>
        <v/>
      </c>
    </row>
    <row r="25" ht="15" customHeight="1" s="25">
      <c r="A25" s="40" t="n"/>
      <c r="B25" s="40" t="n"/>
      <c r="C25" s="41" t="n"/>
      <c r="D25" s="40" t="n"/>
      <c r="E25" s="40" t="n"/>
      <c r="F25" s="40" t="n"/>
      <c r="G25" s="40" t="n"/>
      <c r="H25" s="40" t="n"/>
      <c r="I25" s="41" t="n"/>
      <c r="J25" s="44" t="n"/>
      <c r="K25" s="44" t="n"/>
      <c r="L25" s="45" t="n"/>
      <c r="M25" s="45" t="n"/>
      <c r="N25" s="45" t="n"/>
      <c r="O25" s="45" t="n"/>
      <c r="P25" s="45" t="n"/>
      <c r="Q25" s="45" t="n"/>
      <c r="R25" s="45" t="n"/>
      <c r="S25" s="40" t="n"/>
      <c r="T25" s="41" t="n"/>
      <c r="U25" s="45">
        <f>IFERROR(IF(maxifs('Production Log'!A:A,'Production Log'!B:B,A25,'Production Log'!C:C,"Production")=0,IF(maxifs('Production Log'!A:A,'Production Log'!B:B,A25)=0,"",maxifs('Production Log'!A:A,'Production Log'!B:B,A25)),maxifs('Production Log'!A:A,'Production Log'!B:B,A25,'Production Log'!C:C,"Production")),"")</f>
        <v/>
      </c>
      <c r="V25" s="41" t="n"/>
      <c r="W25" s="45">
        <f>IF(E25="Completed","",IF(MIN(O25,Q25,R25)=0,"",MIN(O25,Q25,R25)))</f>
        <v/>
      </c>
      <c r="X25" s="46">
        <f>IF(W25="","",W25-TODAY())</f>
        <v/>
      </c>
      <c r="AG25">
        <f>IF(AND(A25&lt;&gt;"",E25&lt;&gt;"Completed"),COUNTIFS(A$13:A25,"&lt;&gt;",E$13:E25,"&lt;&gt;Completed"),"")</f>
        <v/>
      </c>
    </row>
    <row r="26" ht="15" customHeight="1" s="25">
      <c r="A26" s="40" t="n"/>
      <c r="B26" s="40" t="n"/>
      <c r="C26" s="41" t="n"/>
      <c r="D26" s="40" t="n"/>
      <c r="E26" s="40" t="n"/>
      <c r="F26" s="40" t="n"/>
      <c r="G26" s="40" t="n"/>
      <c r="H26" s="40" t="n"/>
      <c r="I26" s="41" t="n"/>
      <c r="J26" s="44" t="n"/>
      <c r="K26" s="44" t="n"/>
      <c r="L26" s="45" t="n"/>
      <c r="M26" s="45" t="n"/>
      <c r="N26" s="45" t="n"/>
      <c r="O26" s="45" t="n"/>
      <c r="P26" s="45" t="n"/>
      <c r="Q26" s="45" t="n"/>
      <c r="R26" s="45" t="n"/>
      <c r="S26" s="40" t="n"/>
      <c r="T26" s="41" t="n"/>
      <c r="U26" s="45">
        <f>IFERROR(IF(maxifs('Production Log'!A:A,'Production Log'!B:B,A26,'Production Log'!C:C,"Production")=0,IF(maxifs('Production Log'!A:A,'Production Log'!B:B,A26)=0,"",maxifs('Production Log'!A:A,'Production Log'!B:B,A26)),maxifs('Production Log'!A:A,'Production Log'!B:B,A26,'Production Log'!C:C,"Production")),"")</f>
        <v/>
      </c>
      <c r="V26" s="41" t="n"/>
      <c r="W26" s="45">
        <f>IF(E26="Completed","",IF(MIN(O26,Q26,R26)=0,"",MIN(O26,Q26,R26)))</f>
        <v/>
      </c>
      <c r="X26" s="46">
        <f>IF(W26="","",W26-TODAY())</f>
        <v/>
      </c>
      <c r="AG26">
        <f>IF(AND(A26&lt;&gt;"",E26&lt;&gt;"Completed"),COUNTIFS(A$13:A26,"&lt;&gt;",E$13:E26,"&lt;&gt;Completed"),"")</f>
        <v/>
      </c>
    </row>
    <row r="27" ht="15" customHeight="1" s="25">
      <c r="A27" s="40" t="n"/>
      <c r="B27" s="40" t="n"/>
      <c r="C27" s="41" t="n"/>
      <c r="D27" s="40" t="n"/>
      <c r="E27" s="40" t="n"/>
      <c r="F27" s="40" t="n"/>
      <c r="G27" s="40" t="n"/>
      <c r="H27" s="40" t="n"/>
      <c r="I27" s="41" t="n"/>
      <c r="J27" s="44" t="n"/>
      <c r="K27" s="44" t="n"/>
      <c r="L27" s="45" t="n"/>
      <c r="M27" s="45" t="n"/>
      <c r="N27" s="45" t="n"/>
      <c r="O27" s="45" t="n"/>
      <c r="P27" s="45" t="n"/>
      <c r="Q27" s="45" t="n"/>
      <c r="R27" s="45" t="n"/>
      <c r="S27" s="40" t="n"/>
      <c r="T27" s="41" t="n"/>
      <c r="U27" s="45">
        <f>IFERROR(IF(maxifs('Production Log'!A:A,'Production Log'!B:B,A27,'Production Log'!C:C,"Production")=0,IF(maxifs('Production Log'!A:A,'Production Log'!B:B,A27)=0,"",maxifs('Production Log'!A:A,'Production Log'!B:B,A27)),maxifs('Production Log'!A:A,'Production Log'!B:B,A27,'Production Log'!C:C,"Production")),"")</f>
        <v/>
      </c>
      <c r="V27" s="41" t="n"/>
      <c r="W27" s="45">
        <f>IF(E27="Completed","",IF(MIN(O27,Q27,R27)=0,"",MIN(O27,Q27,R27)))</f>
        <v/>
      </c>
      <c r="X27" s="46">
        <f>IF(W27="","",W27-TODAY())</f>
        <v/>
      </c>
      <c r="AG27">
        <f>IF(AND(A27&lt;&gt;"",E27&lt;&gt;"Completed"),COUNTIFS(A$13:A27,"&lt;&gt;",E$13:E27,"&lt;&gt;Completed"),"")</f>
        <v/>
      </c>
    </row>
    <row r="28" ht="15" customHeight="1" s="25">
      <c r="A28" s="40" t="n"/>
      <c r="B28" s="40" t="n"/>
      <c r="C28" s="41" t="n"/>
      <c r="D28" s="40" t="n"/>
      <c r="E28" s="40" t="n"/>
      <c r="F28" s="40" t="n"/>
      <c r="G28" s="40" t="n"/>
      <c r="H28" s="40" t="n"/>
      <c r="I28" s="41" t="n"/>
      <c r="J28" s="44" t="n"/>
      <c r="K28" s="44" t="n"/>
      <c r="L28" s="45" t="n"/>
      <c r="M28" s="45" t="n"/>
      <c r="N28" s="45" t="n"/>
      <c r="O28" s="45" t="n"/>
      <c r="P28" s="45" t="n"/>
      <c r="Q28" s="45" t="n"/>
      <c r="R28" s="45" t="n"/>
      <c r="S28" s="40" t="n"/>
      <c r="T28" s="41" t="n"/>
      <c r="U28" s="45">
        <f>IFERROR(IF(maxifs('Production Log'!A:A,'Production Log'!B:B,A28,'Production Log'!C:C,"Production")=0,IF(maxifs('Production Log'!A:A,'Production Log'!B:B,A28)=0,"",maxifs('Production Log'!A:A,'Production Log'!B:B,A28)),maxifs('Production Log'!A:A,'Production Log'!B:B,A28,'Production Log'!C:C,"Production")),"")</f>
        <v/>
      </c>
      <c r="V28" s="41" t="n"/>
      <c r="W28" s="45">
        <f>IF(E28="Completed","",IF(MIN(O28,Q28,R28)=0,"",MIN(O28,Q28,R28)))</f>
        <v/>
      </c>
      <c r="X28" s="46">
        <f>IF(W28="","",W28-TODAY())</f>
        <v/>
      </c>
      <c r="AG28">
        <f>IF(AND(A28&lt;&gt;"",E28&lt;&gt;"Completed"),COUNTIFS(A$13:A28,"&lt;&gt;",E$13:E28,"&lt;&gt;Completed"),"")</f>
        <v/>
      </c>
    </row>
    <row r="29" ht="15" customHeight="1" s="25">
      <c r="A29" s="40" t="n"/>
      <c r="B29" s="40" t="n"/>
      <c r="C29" s="41" t="n"/>
      <c r="D29" s="40" t="n"/>
      <c r="E29" s="40" t="n"/>
      <c r="F29" s="40" t="n"/>
      <c r="G29" s="40" t="n"/>
      <c r="H29" s="40" t="n"/>
      <c r="I29" s="41" t="n"/>
      <c r="J29" s="44" t="n"/>
      <c r="K29" s="44" t="n"/>
      <c r="L29" s="45" t="n"/>
      <c r="M29" s="45" t="n"/>
      <c r="N29" s="45" t="n"/>
      <c r="O29" s="45" t="n"/>
      <c r="P29" s="45" t="n"/>
      <c r="Q29" s="45" t="n"/>
      <c r="R29" s="45" t="n"/>
      <c r="S29" s="40" t="n"/>
      <c r="T29" s="41" t="n"/>
      <c r="U29" s="45">
        <f>IFERROR(IF(maxifs('Production Log'!A:A,'Production Log'!B:B,A29,'Production Log'!C:C,"Production")=0,IF(maxifs('Production Log'!A:A,'Production Log'!B:B,A29)=0,"",maxifs('Production Log'!A:A,'Production Log'!B:B,A29)),maxifs('Production Log'!A:A,'Production Log'!B:B,A29,'Production Log'!C:C,"Production")),"")</f>
        <v/>
      </c>
      <c r="V29" s="41" t="n"/>
      <c r="W29" s="45">
        <f>IF(E29="Completed","",IF(MIN(O29,Q29,R29)=0,"",MIN(O29,Q29,R29)))</f>
        <v/>
      </c>
      <c r="X29" s="46">
        <f>IF(W29="","",W29-TODAY())</f>
        <v/>
      </c>
      <c r="AG29">
        <f>IF(AND(A29&lt;&gt;"",E29&lt;&gt;"Completed"),COUNTIFS(A$13:A29,"&lt;&gt;",E$13:E29,"&lt;&gt;Completed"),"")</f>
        <v/>
      </c>
    </row>
    <row r="30" ht="15" customHeight="1" s="25">
      <c r="A30" s="40" t="n"/>
      <c r="B30" s="40" t="n"/>
      <c r="C30" s="41" t="n"/>
      <c r="D30" s="40" t="n"/>
      <c r="E30" s="40" t="n"/>
      <c r="F30" s="40" t="n"/>
      <c r="G30" s="40" t="n"/>
      <c r="H30" s="40" t="n"/>
      <c r="I30" s="41" t="n"/>
      <c r="J30" s="44" t="n"/>
      <c r="K30" s="44" t="n"/>
      <c r="L30" s="45" t="n"/>
      <c r="M30" s="45" t="n"/>
      <c r="N30" s="45" t="n"/>
      <c r="O30" s="45" t="n"/>
      <c r="P30" s="45" t="n"/>
      <c r="Q30" s="45" t="n"/>
      <c r="R30" s="45" t="n"/>
      <c r="S30" s="40" t="n"/>
      <c r="T30" s="41" t="n"/>
      <c r="U30" s="45">
        <f>IFERROR(IF(maxifs('Production Log'!A:A,'Production Log'!B:B,A30,'Production Log'!C:C,"Production")=0,IF(maxifs('Production Log'!A:A,'Production Log'!B:B,A30)=0,"",maxifs('Production Log'!A:A,'Production Log'!B:B,A30)),maxifs('Production Log'!A:A,'Production Log'!B:B,A30,'Production Log'!C:C,"Production")),"")</f>
        <v/>
      </c>
      <c r="V30" s="41" t="n"/>
      <c r="W30" s="45">
        <f>IF(E30="Completed","",IF(MIN(O30,Q30,R30)=0,"",MIN(O30,Q30,R30)))</f>
        <v/>
      </c>
      <c r="X30" s="46">
        <f>IF(W30="","",W30-TODAY())</f>
        <v/>
      </c>
      <c r="AG30">
        <f>IF(AND(A30&lt;&gt;"",E30&lt;&gt;"Completed"),COUNTIFS(A$13:A30,"&lt;&gt;",E$13:E30,"&lt;&gt;Completed"),"")</f>
        <v/>
      </c>
    </row>
    <row r="31" ht="15" customHeight="1" s="25">
      <c r="A31" s="40" t="n"/>
      <c r="B31" s="40" t="n"/>
      <c r="C31" s="41" t="n"/>
      <c r="D31" s="40" t="n"/>
      <c r="E31" s="40" t="n"/>
      <c r="F31" s="40" t="n"/>
      <c r="G31" s="40" t="n"/>
      <c r="H31" s="40" t="n"/>
      <c r="I31" s="41" t="n"/>
      <c r="J31" s="44" t="n"/>
      <c r="K31" s="44" t="n"/>
      <c r="L31" s="45" t="n"/>
      <c r="M31" s="45" t="n"/>
      <c r="N31" s="45" t="n"/>
      <c r="O31" s="45" t="n"/>
      <c r="P31" s="45" t="n"/>
      <c r="Q31" s="45" t="n"/>
      <c r="R31" s="45" t="n"/>
      <c r="S31" s="40" t="n"/>
      <c r="T31" s="41" t="n"/>
      <c r="U31" s="45">
        <f>IFERROR(IF(maxifs('Production Log'!A:A,'Production Log'!B:B,A31,'Production Log'!C:C,"Production")=0,IF(maxifs('Production Log'!A:A,'Production Log'!B:B,A31)=0,"",maxifs('Production Log'!A:A,'Production Log'!B:B,A31)),maxifs('Production Log'!A:A,'Production Log'!B:B,A31,'Production Log'!C:C,"Production")),"")</f>
        <v/>
      </c>
      <c r="V31" s="41" t="n"/>
      <c r="W31" s="45">
        <f>IF(E31="Completed","",IF(MIN(O31,Q31,R31)=0,"",MIN(O31,Q31,R31)))</f>
        <v/>
      </c>
      <c r="X31" s="46">
        <f>IF(W31="","",W31-TODAY())</f>
        <v/>
      </c>
      <c r="AG31">
        <f>IF(AND(A31&lt;&gt;"",E31&lt;&gt;"Completed"),COUNTIFS(A$13:A31,"&lt;&gt;",E$13:E31,"&lt;&gt;Completed"),"")</f>
        <v/>
      </c>
    </row>
    <row r="32" ht="15" customHeight="1" s="25">
      <c r="A32" s="40" t="n"/>
      <c r="B32" s="40" t="n"/>
      <c r="C32" s="41" t="n"/>
      <c r="D32" s="40" t="n"/>
      <c r="E32" s="40" t="n"/>
      <c r="F32" s="40" t="n"/>
      <c r="G32" s="40" t="n"/>
      <c r="H32" s="40" t="n"/>
      <c r="I32" s="41" t="n"/>
      <c r="J32" s="44" t="n"/>
      <c r="K32" s="44" t="n"/>
      <c r="L32" s="45" t="n"/>
      <c r="M32" s="45" t="n"/>
      <c r="N32" s="45" t="n"/>
      <c r="O32" s="45" t="n"/>
      <c r="P32" s="45" t="n"/>
      <c r="Q32" s="45" t="n"/>
      <c r="R32" s="45" t="n"/>
      <c r="S32" s="40" t="n"/>
      <c r="T32" s="41" t="n"/>
      <c r="U32" s="45">
        <f>IFERROR(IF(maxifs('Production Log'!A:A,'Production Log'!B:B,A32,'Production Log'!C:C,"Production")=0,IF(maxifs('Production Log'!A:A,'Production Log'!B:B,A32)=0,"",maxifs('Production Log'!A:A,'Production Log'!B:B,A32)),maxifs('Production Log'!A:A,'Production Log'!B:B,A32,'Production Log'!C:C,"Production")),"")</f>
        <v/>
      </c>
      <c r="V32" s="41" t="n"/>
      <c r="W32" s="45">
        <f>IF(E32="Completed","",IF(MIN(O32,Q32,R32)=0,"",MIN(O32,Q32,R32)))</f>
        <v/>
      </c>
      <c r="X32" s="46">
        <f>IF(W32="","",W32-TODAY())</f>
        <v/>
      </c>
      <c r="AG32">
        <f>IF(AND(A32&lt;&gt;"",E32&lt;&gt;"Completed"),COUNTIFS(A$13:A32,"&lt;&gt;",E$13:E32,"&lt;&gt;Completed"),"")</f>
        <v/>
      </c>
    </row>
    <row r="33" ht="15" customHeight="1" s="25">
      <c r="A33" s="40" t="n"/>
      <c r="B33" s="40" t="n"/>
      <c r="C33" s="41" t="n"/>
      <c r="D33" s="40" t="n"/>
      <c r="E33" s="40" t="n"/>
      <c r="F33" s="40" t="n"/>
      <c r="G33" s="40" t="n"/>
      <c r="H33" s="40" t="n"/>
      <c r="I33" s="41" t="n"/>
      <c r="J33" s="44" t="n"/>
      <c r="K33" s="44" t="n"/>
      <c r="L33" s="45" t="n"/>
      <c r="M33" s="45" t="n"/>
      <c r="N33" s="45" t="n"/>
      <c r="O33" s="45" t="n"/>
      <c r="P33" s="45" t="n"/>
      <c r="Q33" s="45" t="n"/>
      <c r="R33" s="45" t="n"/>
      <c r="S33" s="40" t="n"/>
      <c r="T33" s="41" t="n"/>
      <c r="U33" s="45">
        <f>IFERROR(IF(maxifs('Production Log'!A:A,'Production Log'!B:B,A33,'Production Log'!C:C,"Production")=0,IF(maxifs('Production Log'!A:A,'Production Log'!B:B,A33)=0,"",maxifs('Production Log'!A:A,'Production Log'!B:B,A33)),maxifs('Production Log'!A:A,'Production Log'!B:B,A33,'Production Log'!C:C,"Production")),"")</f>
        <v/>
      </c>
      <c r="V33" s="41" t="n"/>
      <c r="W33" s="45">
        <f>IF(E33="Completed","",IF(MIN(O33,Q33,R33)=0,"",MIN(O33,Q33,R33)))</f>
        <v/>
      </c>
      <c r="X33" s="46">
        <f>IF(W33="","",W33-TODAY())</f>
        <v/>
      </c>
      <c r="AG33">
        <f>IF(AND(A33&lt;&gt;"",E33&lt;&gt;"Completed"),COUNTIFS(A$13:A33,"&lt;&gt;",E$13:E33,"&lt;&gt;Completed"),"")</f>
        <v/>
      </c>
    </row>
    <row r="34" ht="15" customHeight="1" s="25">
      <c r="A34" s="40" t="n"/>
      <c r="B34" s="40" t="n"/>
      <c r="C34" s="41" t="n"/>
      <c r="D34" s="40" t="n"/>
      <c r="E34" s="40" t="n"/>
      <c r="F34" s="40" t="n"/>
      <c r="G34" s="40" t="n"/>
      <c r="H34" s="40" t="n"/>
      <c r="I34" s="41" t="n"/>
      <c r="J34" s="44" t="n"/>
      <c r="K34" s="44" t="n"/>
      <c r="L34" s="45" t="n"/>
      <c r="M34" s="45" t="n"/>
      <c r="N34" s="45" t="n"/>
      <c r="O34" s="45" t="n"/>
      <c r="P34" s="45" t="n"/>
      <c r="Q34" s="45" t="n"/>
      <c r="R34" s="45" t="n"/>
      <c r="S34" s="40" t="n"/>
      <c r="T34" s="41" t="n"/>
      <c r="U34" s="45">
        <f>IFERROR(IF(maxifs('Production Log'!A:A,'Production Log'!B:B,A34,'Production Log'!C:C,"Production")=0,IF(maxifs('Production Log'!A:A,'Production Log'!B:B,A34)=0,"",maxifs('Production Log'!A:A,'Production Log'!B:B,A34)),maxifs('Production Log'!A:A,'Production Log'!B:B,A34,'Production Log'!C:C,"Production")),"")</f>
        <v/>
      </c>
      <c r="V34" s="41" t="n"/>
      <c r="W34" s="45">
        <f>IF(E34="Completed","",IF(MIN(O34,Q34,R34)=0,"",MIN(O34,Q34,R34)))</f>
        <v/>
      </c>
      <c r="X34" s="46">
        <f>IF(W34="","",W34-TODAY())</f>
        <v/>
      </c>
      <c r="AG34">
        <f>IF(AND(A34&lt;&gt;"",E34&lt;&gt;"Completed"),COUNTIFS(A$13:A34,"&lt;&gt;",E$13:E34,"&lt;&gt;Completed"),"")</f>
        <v/>
      </c>
    </row>
    <row r="35" ht="15" customHeight="1" s="25">
      <c r="A35" s="40" t="n"/>
      <c r="B35" s="40" t="n"/>
      <c r="C35" s="41" t="n"/>
      <c r="D35" s="40" t="n"/>
      <c r="E35" s="40" t="n"/>
      <c r="F35" s="40" t="n"/>
      <c r="G35" s="40" t="n"/>
      <c r="H35" s="40" t="n"/>
      <c r="I35" s="41" t="n"/>
      <c r="J35" s="44" t="n"/>
      <c r="K35" s="44" t="n"/>
      <c r="L35" s="45" t="n"/>
      <c r="M35" s="45" t="n"/>
      <c r="N35" s="45" t="n"/>
      <c r="O35" s="45" t="n"/>
      <c r="P35" s="45" t="n"/>
      <c r="Q35" s="45" t="n"/>
      <c r="R35" s="45" t="n"/>
      <c r="S35" s="40" t="n"/>
      <c r="T35" s="41" t="n"/>
      <c r="U35" s="45">
        <f>IFERROR(IF(maxifs('Production Log'!A:A,'Production Log'!B:B,A35,'Production Log'!C:C,"Production")=0,IF(maxifs('Production Log'!A:A,'Production Log'!B:B,A35)=0,"",maxifs('Production Log'!A:A,'Production Log'!B:B,A35)),maxifs('Production Log'!A:A,'Production Log'!B:B,A35,'Production Log'!C:C,"Production")),"")</f>
        <v/>
      </c>
      <c r="V35" s="41" t="n"/>
      <c r="W35" s="45">
        <f>IF(E35="Completed","",IF(MIN(O35,Q35,R35)=0,"",MIN(O35,Q35,R35)))</f>
        <v/>
      </c>
      <c r="X35" s="46">
        <f>IF(W35="","",W35-TODAY())</f>
        <v/>
      </c>
      <c r="AG35">
        <f>IF(AND(A35&lt;&gt;"",E35&lt;&gt;"Completed"),COUNTIFS(A$13:A35,"&lt;&gt;",E$13:E35,"&lt;&gt;Completed"),"")</f>
        <v/>
      </c>
    </row>
    <row r="36" ht="15" customHeight="1" s="25">
      <c r="A36" s="40" t="n"/>
      <c r="B36" s="40" t="n"/>
      <c r="C36" s="41" t="n"/>
      <c r="D36" s="40" t="n"/>
      <c r="E36" s="40" t="n"/>
      <c r="F36" s="40" t="n"/>
      <c r="G36" s="40" t="n"/>
      <c r="H36" s="40" t="n"/>
      <c r="I36" s="41" t="n"/>
      <c r="J36" s="44" t="n"/>
      <c r="K36" s="44" t="n"/>
      <c r="L36" s="45" t="n"/>
      <c r="M36" s="45" t="n"/>
      <c r="N36" s="45" t="n"/>
      <c r="O36" s="45" t="n"/>
      <c r="P36" s="45" t="n"/>
      <c r="Q36" s="45" t="n"/>
      <c r="R36" s="45" t="n"/>
      <c r="S36" s="40" t="n"/>
      <c r="T36" s="41" t="n"/>
      <c r="U36" s="45">
        <f>IFERROR(IF(maxifs('Production Log'!A:A,'Production Log'!B:B,A36,'Production Log'!C:C,"Production")=0,IF(maxifs('Production Log'!A:A,'Production Log'!B:B,A36)=0,"",maxifs('Production Log'!A:A,'Production Log'!B:B,A36)),maxifs('Production Log'!A:A,'Production Log'!B:B,A36,'Production Log'!C:C,"Production")),"")</f>
        <v/>
      </c>
      <c r="V36" s="41" t="n"/>
      <c r="W36" s="45">
        <f>IF(E36="Completed","",IF(MIN(O36,Q36,R36)=0,"",MIN(O36,Q36,R36)))</f>
        <v/>
      </c>
      <c r="X36" s="46">
        <f>IF(W36="","",W36-TODAY())</f>
        <v/>
      </c>
      <c r="AG36">
        <f>IF(AND(A36&lt;&gt;"",E36&lt;&gt;"Completed"),COUNTIFS(A$13:A36,"&lt;&gt;",E$13:E36,"&lt;&gt;Completed"),"")</f>
        <v/>
      </c>
    </row>
    <row r="37" ht="15" customHeight="1" s="25">
      <c r="A37" s="40" t="n"/>
      <c r="B37" s="40" t="n"/>
      <c r="C37" s="41" t="n"/>
      <c r="D37" s="40" t="n"/>
      <c r="E37" s="40" t="n"/>
      <c r="F37" s="40" t="n"/>
      <c r="G37" s="40" t="n"/>
      <c r="H37" s="40" t="n"/>
      <c r="I37" s="41" t="n"/>
      <c r="J37" s="44" t="n"/>
      <c r="K37" s="44" t="n"/>
      <c r="L37" s="45" t="n"/>
      <c r="M37" s="45" t="n"/>
      <c r="N37" s="45" t="n"/>
      <c r="O37" s="45" t="n"/>
      <c r="P37" s="45" t="n"/>
      <c r="Q37" s="45" t="n"/>
      <c r="R37" s="45" t="n"/>
      <c r="S37" s="40" t="n"/>
      <c r="T37" s="41" t="n"/>
      <c r="U37" s="45">
        <f>IFERROR(IF(maxifs('Production Log'!A:A,'Production Log'!B:B,A37,'Production Log'!C:C,"Production")=0,IF(maxifs('Production Log'!A:A,'Production Log'!B:B,A37)=0,"",maxifs('Production Log'!A:A,'Production Log'!B:B,A37)),maxifs('Production Log'!A:A,'Production Log'!B:B,A37,'Production Log'!C:C,"Production")),"")</f>
        <v/>
      </c>
      <c r="V37" s="41" t="n"/>
      <c r="W37" s="45">
        <f>IF(E37="Completed","",IF(MIN(O37,Q37,R37)=0,"",MIN(O37,Q37,R37)))</f>
        <v/>
      </c>
      <c r="X37" s="46">
        <f>IF(W37="","",W37-TODAY())</f>
        <v/>
      </c>
      <c r="AG37">
        <f>IF(AND(A37&lt;&gt;"",E37&lt;&gt;"Completed"),COUNTIFS(A$13:A37,"&lt;&gt;",E$13:E37,"&lt;&gt;Completed"),"")</f>
        <v/>
      </c>
    </row>
    <row r="38" ht="15" customHeight="1" s="25">
      <c r="A38" s="40" t="n"/>
      <c r="B38" s="40" t="n"/>
      <c r="C38" s="41" t="n"/>
      <c r="D38" s="40" t="n"/>
      <c r="E38" s="40" t="n"/>
      <c r="F38" s="40" t="n"/>
      <c r="G38" s="40" t="n"/>
      <c r="H38" s="40" t="n"/>
      <c r="I38" s="41" t="n"/>
      <c r="J38" s="44" t="n"/>
      <c r="K38" s="44" t="n"/>
      <c r="L38" s="45" t="n"/>
      <c r="M38" s="45" t="n"/>
      <c r="N38" s="45" t="n"/>
      <c r="O38" s="45" t="n"/>
      <c r="P38" s="45" t="n"/>
      <c r="Q38" s="45" t="n"/>
      <c r="R38" s="45" t="n"/>
      <c r="S38" s="40" t="n"/>
      <c r="T38" s="41" t="n"/>
      <c r="U38" s="45">
        <f>IFERROR(IF(maxifs('Production Log'!A:A,'Production Log'!B:B,A38,'Production Log'!C:C,"Production")=0,IF(maxifs('Production Log'!A:A,'Production Log'!B:B,A38)=0,"",maxifs('Production Log'!A:A,'Production Log'!B:B,A38)),maxifs('Production Log'!A:A,'Production Log'!B:B,A38,'Production Log'!C:C,"Production")),"")</f>
        <v/>
      </c>
      <c r="V38" s="41" t="n"/>
      <c r="W38" s="45">
        <f>IF(E38="Completed","",IF(MIN(O38,Q38,R38)=0,"",MIN(O38,Q38,R38)))</f>
        <v/>
      </c>
      <c r="X38" s="46">
        <f>IF(W38="","",W38-TODAY())</f>
        <v/>
      </c>
      <c r="AG38">
        <f>IF(AND(A38&lt;&gt;"",E38&lt;&gt;"Completed"),COUNTIFS(A$13:A38,"&lt;&gt;",E$13:E38,"&lt;&gt;Completed"),"")</f>
        <v/>
      </c>
    </row>
    <row r="39" ht="15" customHeight="1" s="25">
      <c r="A39" s="40" t="n"/>
      <c r="B39" s="40" t="n"/>
      <c r="C39" s="41" t="n"/>
      <c r="D39" s="40" t="n"/>
      <c r="E39" s="40" t="n"/>
      <c r="F39" s="40" t="n"/>
      <c r="G39" s="40" t="n"/>
      <c r="H39" s="40" t="n"/>
      <c r="I39" s="41" t="n"/>
      <c r="J39" s="44" t="n"/>
      <c r="K39" s="44" t="n"/>
      <c r="L39" s="45" t="n"/>
      <c r="M39" s="45" t="n"/>
      <c r="N39" s="45" t="n"/>
      <c r="O39" s="45" t="n"/>
      <c r="P39" s="45" t="n"/>
      <c r="Q39" s="45" t="n"/>
      <c r="R39" s="45" t="n"/>
      <c r="S39" s="40" t="n"/>
      <c r="T39" s="41" t="n"/>
      <c r="U39" s="45">
        <f>IFERROR(IF(maxifs('Production Log'!A:A,'Production Log'!B:B,A39,'Production Log'!C:C,"Production")=0,IF(maxifs('Production Log'!A:A,'Production Log'!B:B,A39)=0,"",maxifs('Production Log'!A:A,'Production Log'!B:B,A39)),maxifs('Production Log'!A:A,'Production Log'!B:B,A39,'Production Log'!C:C,"Production")),"")</f>
        <v/>
      </c>
      <c r="V39" s="41" t="n"/>
      <c r="W39" s="45">
        <f>IF(E39="Completed","",IF(MIN(O39,Q39,R39)=0,"",MIN(O39,Q39,R39)))</f>
        <v/>
      </c>
      <c r="X39" s="46">
        <f>IF(W39="","",W39-TODAY())</f>
        <v/>
      </c>
      <c r="AG39">
        <f>IF(AND(A39&lt;&gt;"",E39&lt;&gt;"Completed"),COUNTIFS(A$13:A39,"&lt;&gt;",E$13:E39,"&lt;&gt;Completed"),"")</f>
        <v/>
      </c>
    </row>
    <row r="40" ht="15" customHeight="1" s="25">
      <c r="A40" s="40" t="n"/>
      <c r="B40" s="40" t="n"/>
      <c r="C40" s="41" t="n"/>
      <c r="D40" s="40" t="n"/>
      <c r="E40" s="40" t="n"/>
      <c r="F40" s="40" t="n"/>
      <c r="G40" s="40" t="n"/>
      <c r="H40" s="40" t="n"/>
      <c r="I40" s="41" t="n"/>
      <c r="J40" s="44" t="n"/>
      <c r="K40" s="44" t="n"/>
      <c r="L40" s="45" t="n"/>
      <c r="M40" s="45" t="n"/>
      <c r="N40" s="45" t="n"/>
      <c r="O40" s="45" t="n"/>
      <c r="P40" s="45" t="n"/>
      <c r="Q40" s="45" t="n"/>
      <c r="R40" s="45" t="n"/>
      <c r="S40" s="40" t="n"/>
      <c r="T40" s="41" t="n"/>
      <c r="U40" s="45">
        <f>IFERROR(IF(maxifs('Production Log'!A:A,'Production Log'!B:B,A40,'Production Log'!C:C,"Production")=0,IF(maxifs('Production Log'!A:A,'Production Log'!B:B,A40)=0,"",maxifs('Production Log'!A:A,'Production Log'!B:B,A40)),maxifs('Production Log'!A:A,'Production Log'!B:B,A40,'Production Log'!C:C,"Production")),"")</f>
        <v/>
      </c>
      <c r="V40" s="41" t="n"/>
      <c r="W40" s="45">
        <f>IF(E40="Completed","",IF(MIN(O40,Q40,R40)=0,"",MIN(O40,Q40,R40)))</f>
        <v/>
      </c>
      <c r="X40" s="46">
        <f>IF(W40="","",W40-TODAY())</f>
        <v/>
      </c>
      <c r="AG40">
        <f>IF(AND(A40&lt;&gt;"",E40&lt;&gt;"Completed"),COUNTIFS(A$13:A40,"&lt;&gt;",E$13:E40,"&lt;&gt;Completed"),"")</f>
        <v/>
      </c>
    </row>
    <row r="41" ht="15" customHeight="1" s="25">
      <c r="A41" s="40" t="n"/>
      <c r="B41" s="40" t="n"/>
      <c r="C41" s="41" t="n"/>
      <c r="D41" s="40" t="n"/>
      <c r="E41" s="40" t="n"/>
      <c r="F41" s="40" t="n"/>
      <c r="G41" s="40" t="n"/>
      <c r="H41" s="40" t="n"/>
      <c r="I41" s="41" t="n"/>
      <c r="J41" s="44" t="n"/>
      <c r="K41" s="44" t="n"/>
      <c r="L41" s="45" t="n"/>
      <c r="M41" s="45" t="n"/>
      <c r="N41" s="45" t="n"/>
      <c r="O41" s="45" t="n"/>
      <c r="P41" s="45" t="n"/>
      <c r="Q41" s="45" t="n"/>
      <c r="R41" s="45" t="n"/>
      <c r="S41" s="40" t="n"/>
      <c r="T41" s="41" t="n"/>
      <c r="U41" s="45">
        <f>IFERROR(IF(maxifs('Production Log'!A:A,'Production Log'!B:B,A41,'Production Log'!C:C,"Production")=0,IF(maxifs('Production Log'!A:A,'Production Log'!B:B,A41)=0,"",maxifs('Production Log'!A:A,'Production Log'!B:B,A41)),maxifs('Production Log'!A:A,'Production Log'!B:B,A41,'Production Log'!C:C,"Production")),"")</f>
        <v/>
      </c>
      <c r="V41" s="41" t="n"/>
      <c r="W41" s="45">
        <f>IF(E41="Completed","",IF(MIN(O41,Q41,R41)=0,"",MIN(O41,Q41,R41)))</f>
        <v/>
      </c>
      <c r="X41" s="46">
        <f>IF(W41="","",W41-TODAY())</f>
        <v/>
      </c>
      <c r="AG41">
        <f>IF(AND(A41&lt;&gt;"",E41&lt;&gt;"Completed"),COUNTIFS(A$13:A41,"&lt;&gt;",E$13:E41,"&lt;&gt;Completed"),"")</f>
        <v/>
      </c>
    </row>
    <row r="42" ht="15" customHeight="1" s="25">
      <c r="A42" s="40" t="n"/>
      <c r="B42" s="40" t="n"/>
      <c r="C42" s="41" t="n"/>
      <c r="D42" s="40" t="n"/>
      <c r="E42" s="40" t="n"/>
      <c r="F42" s="40" t="n"/>
      <c r="G42" s="40" t="n"/>
      <c r="H42" s="40" t="n"/>
      <c r="I42" s="41" t="n"/>
      <c r="J42" s="44" t="n"/>
      <c r="K42" s="44" t="n"/>
      <c r="L42" s="45" t="n"/>
      <c r="M42" s="45" t="n"/>
      <c r="N42" s="45" t="n"/>
      <c r="O42" s="45" t="n"/>
      <c r="P42" s="45" t="n"/>
      <c r="Q42" s="45" t="n"/>
      <c r="R42" s="45" t="n"/>
      <c r="S42" s="40" t="n"/>
      <c r="T42" s="41" t="n"/>
      <c r="U42" s="45">
        <f>IFERROR(IF(maxifs('Production Log'!A:A,'Production Log'!B:B,A42,'Production Log'!C:C,"Production")=0,IF(maxifs('Production Log'!A:A,'Production Log'!B:B,A42)=0,"",maxifs('Production Log'!A:A,'Production Log'!B:B,A42)),maxifs('Production Log'!A:A,'Production Log'!B:B,A42,'Production Log'!C:C,"Production")),"")</f>
        <v/>
      </c>
      <c r="V42" s="41" t="n"/>
      <c r="W42" s="45">
        <f>IF(E42="Completed","",IF(MIN(O42,Q42,R42)=0,"",MIN(O42,Q42,R42)))</f>
        <v/>
      </c>
      <c r="X42" s="46">
        <f>IF(W42="","",W42-TODAY())</f>
        <v/>
      </c>
      <c r="AG42">
        <f>IF(AND(A42&lt;&gt;"",E42&lt;&gt;"Completed"),COUNTIFS(A$13:A42,"&lt;&gt;",E$13:E42,"&lt;&gt;Completed"),"")</f>
        <v/>
      </c>
    </row>
    <row r="43" ht="15" customHeight="1" s="25">
      <c r="A43" s="40" t="n"/>
      <c r="B43" s="40" t="n"/>
      <c r="C43" s="41" t="n"/>
      <c r="D43" s="40" t="n"/>
      <c r="E43" s="40" t="n"/>
      <c r="F43" s="40" t="n"/>
      <c r="G43" s="40" t="n"/>
      <c r="H43" s="40" t="n"/>
      <c r="I43" s="41" t="n"/>
      <c r="J43" s="44" t="n"/>
      <c r="K43" s="44" t="n"/>
      <c r="L43" s="45" t="n"/>
      <c r="M43" s="45" t="n"/>
      <c r="N43" s="45" t="n"/>
      <c r="O43" s="45" t="n"/>
      <c r="P43" s="45" t="n"/>
      <c r="Q43" s="45" t="n"/>
      <c r="R43" s="45" t="n"/>
      <c r="S43" s="40" t="n"/>
      <c r="T43" s="41" t="n"/>
      <c r="U43" s="45">
        <f>IFERROR(IF(maxifs('Production Log'!A:A,'Production Log'!B:B,A43,'Production Log'!C:C,"Production")=0,IF(maxifs('Production Log'!A:A,'Production Log'!B:B,A43)=0,"",maxifs('Production Log'!A:A,'Production Log'!B:B,A43)),maxifs('Production Log'!A:A,'Production Log'!B:B,A43,'Production Log'!C:C,"Production")),"")</f>
        <v/>
      </c>
      <c r="V43" s="41" t="n"/>
      <c r="W43" s="45">
        <f>IF(E43="Completed","",IF(MIN(O43,Q43,R43)=0,"",MIN(O43,Q43,R43)))</f>
        <v/>
      </c>
      <c r="X43" s="46">
        <f>IF(W43="","",W43-TODAY())</f>
        <v/>
      </c>
      <c r="AG43">
        <f>IF(AND(A43&lt;&gt;"",E43&lt;&gt;"Completed"),COUNTIFS(A$13:A43,"&lt;&gt;",E$13:E43,"&lt;&gt;Completed"),"")</f>
        <v/>
      </c>
    </row>
    <row r="44" ht="15" customHeight="1" s="25">
      <c r="A44" s="40" t="n"/>
      <c r="B44" s="40" t="n"/>
      <c r="C44" s="41" t="n"/>
      <c r="D44" s="40" t="n"/>
      <c r="E44" s="40" t="n"/>
      <c r="F44" s="40" t="n"/>
      <c r="G44" s="40" t="n"/>
      <c r="H44" s="40" t="n"/>
      <c r="I44" s="41" t="n"/>
      <c r="J44" s="44" t="n"/>
      <c r="K44" s="44" t="n"/>
      <c r="L44" s="45" t="n"/>
      <c r="M44" s="45" t="n"/>
      <c r="N44" s="45" t="n"/>
      <c r="O44" s="45" t="n"/>
      <c r="P44" s="45" t="n"/>
      <c r="Q44" s="45" t="n"/>
      <c r="R44" s="45" t="n"/>
      <c r="S44" s="40" t="n"/>
      <c r="T44" s="41" t="n"/>
      <c r="U44" s="45">
        <f>IFERROR(IF(maxifs('Production Log'!A:A,'Production Log'!B:B,A44,'Production Log'!C:C,"Production")=0,IF(maxifs('Production Log'!A:A,'Production Log'!B:B,A44)=0,"",maxifs('Production Log'!A:A,'Production Log'!B:B,A44)),maxifs('Production Log'!A:A,'Production Log'!B:B,A44,'Production Log'!C:C,"Production")),"")</f>
        <v/>
      </c>
      <c r="V44" s="41" t="n"/>
      <c r="W44" s="45">
        <f>IF(E44="Completed","",IF(MIN(O44,Q44,R44)=0,"",MIN(O44,Q44,R44)))</f>
        <v/>
      </c>
      <c r="X44" s="46">
        <f>IF(W44="","",W44-TODAY())</f>
        <v/>
      </c>
      <c r="AG44">
        <f>IF(AND(A44&lt;&gt;"",E44&lt;&gt;"Completed"),COUNTIFS(A$13:A44,"&lt;&gt;",E$13:E44,"&lt;&gt;Completed"),"")</f>
        <v/>
      </c>
    </row>
    <row r="45" ht="15" customHeight="1" s="25">
      <c r="A45" s="40" t="n"/>
      <c r="B45" s="40" t="n"/>
      <c r="C45" s="41" t="n"/>
      <c r="D45" s="40" t="n"/>
      <c r="E45" s="40" t="n"/>
      <c r="F45" s="40" t="n"/>
      <c r="G45" s="40" t="n"/>
      <c r="H45" s="40" t="n"/>
      <c r="I45" s="41" t="n"/>
      <c r="J45" s="44" t="n"/>
      <c r="K45" s="44" t="n"/>
      <c r="L45" s="45" t="n"/>
      <c r="M45" s="45" t="n"/>
      <c r="N45" s="45" t="n"/>
      <c r="O45" s="45" t="n"/>
      <c r="P45" s="45" t="n"/>
      <c r="Q45" s="45" t="n"/>
      <c r="R45" s="45" t="n"/>
      <c r="S45" s="40" t="n"/>
      <c r="T45" s="41" t="n"/>
      <c r="U45" s="45">
        <f>IFERROR(IF(maxifs('Production Log'!A:A,'Production Log'!B:B,A45,'Production Log'!C:C,"Production")=0,IF(maxifs('Production Log'!A:A,'Production Log'!B:B,A45)=0,"",maxifs('Production Log'!A:A,'Production Log'!B:B,A45)),maxifs('Production Log'!A:A,'Production Log'!B:B,A45,'Production Log'!C:C,"Production")),"")</f>
        <v/>
      </c>
      <c r="V45" s="41" t="n"/>
      <c r="W45" s="45">
        <f>IF(E45="Completed","",IF(MIN(O45,Q45,R45)=0,"",MIN(O45,Q45,R45)))</f>
        <v/>
      </c>
      <c r="X45" s="46">
        <f>IF(W45="","",W45-TODAY())</f>
        <v/>
      </c>
      <c r="AG45">
        <f>IF(AND(A45&lt;&gt;"",E45&lt;&gt;"Completed"),COUNTIFS(A$13:A45,"&lt;&gt;",E$13:E45,"&lt;&gt;Completed"),"")</f>
        <v/>
      </c>
    </row>
    <row r="46" ht="15" customHeight="1" s="25">
      <c r="A46" s="40" t="n"/>
      <c r="B46" s="40" t="n"/>
      <c r="C46" s="41" t="n"/>
      <c r="D46" s="40" t="n"/>
      <c r="E46" s="40" t="n"/>
      <c r="F46" s="40" t="n"/>
      <c r="G46" s="40" t="n"/>
      <c r="H46" s="40" t="n"/>
      <c r="I46" s="41" t="n"/>
      <c r="J46" s="44" t="n"/>
      <c r="K46" s="44" t="n"/>
      <c r="L46" s="45" t="n"/>
      <c r="M46" s="45" t="n"/>
      <c r="N46" s="45" t="n"/>
      <c r="O46" s="45" t="n"/>
      <c r="P46" s="45" t="n"/>
      <c r="Q46" s="45" t="n"/>
      <c r="R46" s="45" t="n"/>
      <c r="S46" s="40" t="n"/>
      <c r="T46" s="41" t="n"/>
      <c r="U46" s="45">
        <f>IFERROR(IF(maxifs('Production Log'!A:A,'Production Log'!B:B,A46,'Production Log'!C:C,"Production")=0,IF(maxifs('Production Log'!A:A,'Production Log'!B:B,A46)=0,"",maxifs('Production Log'!A:A,'Production Log'!B:B,A46)),maxifs('Production Log'!A:A,'Production Log'!B:B,A46,'Production Log'!C:C,"Production")),"")</f>
        <v/>
      </c>
      <c r="V46" s="41" t="n"/>
      <c r="W46" s="45">
        <f>IF(E46="Completed","",IF(MIN(O46,Q46,R46)=0,"",MIN(O46,Q46,R46)))</f>
        <v/>
      </c>
      <c r="X46" s="46">
        <f>IF(W46="","",W46-TODAY())</f>
        <v/>
      </c>
      <c r="AG46">
        <f>IF(AND(A46&lt;&gt;"",E46&lt;&gt;"Completed"),COUNTIFS(A$13:A46,"&lt;&gt;",E$13:E46,"&lt;&gt;Completed"),"")</f>
        <v/>
      </c>
    </row>
    <row r="47" ht="15" customHeight="1" s="25">
      <c r="A47" s="40" t="n"/>
      <c r="B47" s="40" t="n"/>
      <c r="C47" s="41" t="n"/>
      <c r="D47" s="40" t="n"/>
      <c r="E47" s="40" t="n"/>
      <c r="F47" s="40" t="n"/>
      <c r="G47" s="40" t="n"/>
      <c r="H47" s="40" t="n"/>
      <c r="I47" s="41" t="n"/>
      <c r="J47" s="44" t="n"/>
      <c r="K47" s="44" t="n"/>
      <c r="L47" s="45" t="n"/>
      <c r="M47" s="45" t="n"/>
      <c r="N47" s="45" t="n"/>
      <c r="O47" s="45" t="n"/>
      <c r="P47" s="45" t="n"/>
      <c r="Q47" s="45" t="n"/>
      <c r="R47" s="45" t="n"/>
      <c r="S47" s="40" t="n"/>
      <c r="T47" s="41" t="n"/>
      <c r="U47" s="45">
        <f>IFERROR(IF(maxifs('Production Log'!A:A,'Production Log'!B:B,A47,'Production Log'!C:C,"Production")=0,IF(maxifs('Production Log'!A:A,'Production Log'!B:B,A47)=0,"",maxifs('Production Log'!A:A,'Production Log'!B:B,A47)),maxifs('Production Log'!A:A,'Production Log'!B:B,A47,'Production Log'!C:C,"Production")),"")</f>
        <v/>
      </c>
      <c r="V47" s="41" t="n"/>
      <c r="W47" s="45">
        <f>IF(E47="Completed","",IF(MIN(O47,Q47,R47)=0,"",MIN(O47,Q47,R47)))</f>
        <v/>
      </c>
      <c r="X47" s="46">
        <f>IF(W47="","",W47-TODAY())</f>
        <v/>
      </c>
      <c r="AG47">
        <f>IF(AND(A47&lt;&gt;"",E47&lt;&gt;"Completed"),COUNTIFS(A$13:A47,"&lt;&gt;",E$13:E47,"&lt;&gt;Completed"),"")</f>
        <v/>
      </c>
    </row>
    <row r="48" ht="15" customHeight="1" s="25">
      <c r="A48" s="40" t="n"/>
      <c r="B48" s="40" t="n"/>
      <c r="C48" s="41" t="n"/>
      <c r="D48" s="40" t="n"/>
      <c r="E48" s="40" t="n"/>
      <c r="F48" s="40" t="n"/>
      <c r="G48" s="40" t="n"/>
      <c r="H48" s="40" t="n"/>
      <c r="I48" s="41" t="n"/>
      <c r="J48" s="44" t="n"/>
      <c r="K48" s="44" t="n"/>
      <c r="L48" s="45" t="n"/>
      <c r="M48" s="45" t="n"/>
      <c r="N48" s="45" t="n"/>
      <c r="O48" s="45" t="n"/>
      <c r="P48" s="45" t="n"/>
      <c r="Q48" s="45" t="n"/>
      <c r="R48" s="45" t="n"/>
      <c r="S48" s="40" t="n"/>
      <c r="T48" s="41" t="n"/>
      <c r="U48" s="45">
        <f>IFERROR(IF(maxifs('Production Log'!A:A,'Production Log'!B:B,A48,'Production Log'!C:C,"Production")=0,IF(maxifs('Production Log'!A:A,'Production Log'!B:B,A48)=0,"",maxifs('Production Log'!A:A,'Production Log'!B:B,A48)),maxifs('Production Log'!A:A,'Production Log'!B:B,A48,'Production Log'!C:C,"Production")),"")</f>
        <v/>
      </c>
      <c r="V48" s="41" t="n"/>
      <c r="W48" s="45">
        <f>IF(E48="Completed","",IF(MIN(O48,Q48,R48)=0,"",MIN(O48,Q48,R48)))</f>
        <v/>
      </c>
      <c r="X48" s="46">
        <f>IF(W48="","",W48-TODAY())</f>
        <v/>
      </c>
      <c r="AG48">
        <f>IF(AND(A48&lt;&gt;"",E48&lt;&gt;"Completed"),COUNTIFS(A$13:A48,"&lt;&gt;",E$13:E48,"&lt;&gt;Completed"),"")</f>
        <v/>
      </c>
    </row>
    <row r="49" ht="15" customHeight="1" s="25">
      <c r="A49" s="40" t="n"/>
      <c r="B49" s="40" t="n"/>
      <c r="C49" s="41" t="n"/>
      <c r="D49" s="40" t="n"/>
      <c r="E49" s="40" t="n"/>
      <c r="F49" s="40" t="n"/>
      <c r="G49" s="40" t="n"/>
      <c r="H49" s="40" t="n"/>
      <c r="I49" s="41" t="n"/>
      <c r="J49" s="44" t="n"/>
      <c r="K49" s="44" t="n"/>
      <c r="L49" s="45" t="n"/>
      <c r="M49" s="45" t="n"/>
      <c r="N49" s="45" t="n"/>
      <c r="O49" s="45" t="n"/>
      <c r="P49" s="45" t="n"/>
      <c r="Q49" s="45" t="n"/>
      <c r="R49" s="45" t="n"/>
      <c r="S49" s="40" t="n"/>
      <c r="T49" s="41" t="n"/>
      <c r="U49" s="45">
        <f>IFERROR(IF(maxifs('Production Log'!A:A,'Production Log'!B:B,A49,'Production Log'!C:C,"Production")=0,IF(maxifs('Production Log'!A:A,'Production Log'!B:B,A49)=0,"",maxifs('Production Log'!A:A,'Production Log'!B:B,A49)),maxifs('Production Log'!A:A,'Production Log'!B:B,A49,'Production Log'!C:C,"Production")),"")</f>
        <v/>
      </c>
      <c r="V49" s="41" t="n"/>
      <c r="W49" s="45">
        <f>IF(E49="Completed","",IF(MIN(O49,Q49,R49)=0,"",MIN(O49,Q49,R49)))</f>
        <v/>
      </c>
      <c r="X49" s="46">
        <f>IF(W49="","",W49-TODAY())</f>
        <v/>
      </c>
      <c r="AG49">
        <f>IF(AND(A49&lt;&gt;"",E49&lt;&gt;"Completed"),COUNTIFS(A$13:A49,"&lt;&gt;",E$13:E49,"&lt;&gt;Completed"),"")</f>
        <v/>
      </c>
    </row>
    <row r="50" ht="15" customHeight="1" s="25">
      <c r="A50" s="40" t="n"/>
      <c r="B50" s="40" t="n"/>
      <c r="C50" s="41" t="n"/>
      <c r="D50" s="40" t="n"/>
      <c r="E50" s="40" t="n"/>
      <c r="F50" s="40" t="n"/>
      <c r="G50" s="40" t="n"/>
      <c r="H50" s="40" t="n"/>
      <c r="I50" s="41" t="n"/>
      <c r="J50" s="44" t="n"/>
      <c r="K50" s="44" t="n"/>
      <c r="L50" s="45" t="n"/>
      <c r="M50" s="45" t="n"/>
      <c r="N50" s="45" t="n"/>
      <c r="O50" s="45" t="n"/>
      <c r="P50" s="45" t="n"/>
      <c r="Q50" s="45" t="n"/>
      <c r="R50" s="45" t="n"/>
      <c r="S50" s="40" t="n"/>
      <c r="T50" s="41" t="n"/>
      <c r="U50" s="45">
        <f>IFERROR(IF(maxifs('Production Log'!A:A,'Production Log'!B:B,A50,'Production Log'!C:C,"Production")=0,IF(maxifs('Production Log'!A:A,'Production Log'!B:B,A50)=0,"",maxifs('Production Log'!A:A,'Production Log'!B:B,A50)),maxifs('Production Log'!A:A,'Production Log'!B:B,A50,'Production Log'!C:C,"Production")),"")</f>
        <v/>
      </c>
      <c r="V50" s="41" t="n"/>
      <c r="W50" s="45">
        <f>IF(E50="Completed","",IF(MIN(O50,Q50,R50)=0,"",MIN(O50,Q50,R50)))</f>
        <v/>
      </c>
      <c r="X50" s="46">
        <f>IF(W50="","",W50-TODAY())</f>
        <v/>
      </c>
      <c r="AG50">
        <f>IF(AND(A50&lt;&gt;"",E50&lt;&gt;"Completed"),COUNTIFS(A$13:A50,"&lt;&gt;",E$13:E50,"&lt;&gt;Completed"),"")</f>
        <v/>
      </c>
    </row>
    <row r="51" ht="15" customHeight="1" s="25">
      <c r="A51" s="40" t="n"/>
      <c r="B51" s="40" t="n"/>
      <c r="C51" s="41" t="n"/>
      <c r="D51" s="40" t="n"/>
      <c r="E51" s="40" t="n"/>
      <c r="F51" s="40" t="n"/>
      <c r="G51" s="40" t="n"/>
      <c r="H51" s="40" t="n"/>
      <c r="I51" s="41" t="n"/>
      <c r="J51" s="44" t="n"/>
      <c r="K51" s="44" t="n"/>
      <c r="L51" s="45" t="n"/>
      <c r="M51" s="45" t="n"/>
      <c r="N51" s="45" t="n"/>
      <c r="O51" s="45" t="n"/>
      <c r="P51" s="45" t="n"/>
      <c r="Q51" s="45" t="n"/>
      <c r="R51" s="45" t="n"/>
      <c r="S51" s="40" t="n"/>
      <c r="T51" s="41" t="n"/>
      <c r="U51" s="45">
        <f>IFERROR(IF(maxifs('Production Log'!A:A,'Production Log'!B:B,A51,'Production Log'!C:C,"Production")=0,IF(maxifs('Production Log'!A:A,'Production Log'!B:B,A51)=0,"",maxifs('Production Log'!A:A,'Production Log'!B:B,A51)),maxifs('Production Log'!A:A,'Production Log'!B:B,A51,'Production Log'!C:C,"Production")),"")</f>
        <v/>
      </c>
      <c r="V51" s="41" t="n"/>
      <c r="W51" s="45">
        <f>IF(E51="Completed","",IF(MIN(O51,Q51,R51)=0,"",MIN(O51,Q51,R51)))</f>
        <v/>
      </c>
      <c r="X51" s="46">
        <f>IF(W51="","",W51-TODAY())</f>
        <v/>
      </c>
      <c r="AG51">
        <f>IF(AND(A51&lt;&gt;"",E51&lt;&gt;"Completed"),COUNTIFS(A$13:A51,"&lt;&gt;",E$13:E51,"&lt;&gt;Completed"),"")</f>
        <v/>
      </c>
    </row>
    <row r="52" ht="15" customHeight="1" s="25">
      <c r="A52" s="40" t="n"/>
      <c r="B52" s="40" t="n"/>
      <c r="C52" s="41" t="n"/>
      <c r="D52" s="40" t="n"/>
      <c r="E52" s="40" t="n"/>
      <c r="F52" s="40" t="n"/>
      <c r="G52" s="40" t="n"/>
      <c r="H52" s="40" t="n"/>
      <c r="I52" s="41" t="n"/>
      <c r="J52" s="44" t="n"/>
      <c r="K52" s="44" t="n"/>
      <c r="L52" s="45" t="n"/>
      <c r="M52" s="45" t="n"/>
      <c r="N52" s="45" t="n"/>
      <c r="O52" s="45" t="n"/>
      <c r="P52" s="45" t="n"/>
      <c r="Q52" s="45" t="n"/>
      <c r="R52" s="45" t="n"/>
      <c r="S52" s="40" t="n"/>
      <c r="T52" s="41" t="n"/>
      <c r="U52" s="45">
        <f>IFERROR(IF(maxifs('Production Log'!A:A,'Production Log'!B:B,A52,'Production Log'!C:C,"Production")=0,IF(maxifs('Production Log'!A:A,'Production Log'!B:B,A52)=0,"",maxifs('Production Log'!A:A,'Production Log'!B:B,A52)),maxifs('Production Log'!A:A,'Production Log'!B:B,A52,'Production Log'!C:C,"Production")),"")</f>
        <v/>
      </c>
      <c r="V52" s="41" t="n"/>
      <c r="W52" s="45">
        <f>IF(E52="Completed","",IF(MIN(O52,Q52,R52)=0,"",MIN(O52,Q52,R52)))</f>
        <v/>
      </c>
      <c r="X52" s="46">
        <f>IF(W52="","",W52-TODAY())</f>
        <v/>
      </c>
      <c r="AG52">
        <f>IF(AND(A52&lt;&gt;"",E52&lt;&gt;"Completed"),COUNTIFS(A$13:A52,"&lt;&gt;",E$13:E52,"&lt;&gt;Completed"),"")</f>
        <v/>
      </c>
    </row>
    <row r="53" ht="15" customHeight="1" s="25">
      <c r="A53" s="40" t="n"/>
      <c r="B53" s="40" t="n"/>
      <c r="C53" s="41" t="n"/>
      <c r="D53" s="40" t="n"/>
      <c r="E53" s="40" t="n"/>
      <c r="F53" s="40" t="n"/>
      <c r="G53" s="40" t="n"/>
      <c r="H53" s="40" t="n"/>
      <c r="I53" s="41" t="n"/>
      <c r="J53" s="44" t="n"/>
      <c r="K53" s="44" t="n"/>
      <c r="L53" s="45" t="n"/>
      <c r="M53" s="45" t="n"/>
      <c r="N53" s="45" t="n"/>
      <c r="O53" s="45" t="n"/>
      <c r="P53" s="45" t="n"/>
      <c r="Q53" s="45" t="n"/>
      <c r="R53" s="45" t="n"/>
      <c r="S53" s="40" t="n"/>
      <c r="T53" s="41" t="n"/>
      <c r="U53" s="45">
        <f>IFERROR(IF(maxifs('Production Log'!A:A,'Production Log'!B:B,A53,'Production Log'!C:C,"Production")=0,IF(maxifs('Production Log'!A:A,'Production Log'!B:B,A53)=0,"",maxifs('Production Log'!A:A,'Production Log'!B:B,A53)),maxifs('Production Log'!A:A,'Production Log'!B:B,A53,'Production Log'!C:C,"Production")),"")</f>
        <v/>
      </c>
      <c r="V53" s="41" t="n"/>
      <c r="W53" s="45">
        <f>IF(E53="Completed","",IF(MIN(O53,Q53,R53)=0,"",MIN(O53,Q53,R53)))</f>
        <v/>
      </c>
      <c r="X53" s="46">
        <f>IF(W53="","",W53-TODAY())</f>
        <v/>
      </c>
      <c r="AG53">
        <f>IF(AND(A53&lt;&gt;"",E53&lt;&gt;"Completed"),COUNTIFS(A$13:A53,"&lt;&gt;",E$13:E53,"&lt;&gt;Completed"),"")</f>
        <v/>
      </c>
    </row>
    <row r="54" ht="15" customHeight="1" s="25">
      <c r="A54" s="40" t="n"/>
      <c r="B54" s="40" t="n"/>
      <c r="C54" s="41" t="n"/>
      <c r="D54" s="40" t="n"/>
      <c r="E54" s="40" t="n"/>
      <c r="F54" s="40" t="n"/>
      <c r="G54" s="40" t="n"/>
      <c r="H54" s="40" t="n"/>
      <c r="I54" s="41" t="n"/>
      <c r="J54" s="44" t="n"/>
      <c r="K54" s="44" t="n"/>
      <c r="L54" s="45" t="n"/>
      <c r="M54" s="45" t="n"/>
      <c r="N54" s="45" t="n"/>
      <c r="O54" s="45" t="n"/>
      <c r="P54" s="45" t="n"/>
      <c r="Q54" s="45" t="n"/>
      <c r="R54" s="45" t="n"/>
      <c r="S54" s="40" t="n"/>
      <c r="T54" s="41" t="n"/>
      <c r="U54" s="45">
        <f>IFERROR(IF(maxifs('Production Log'!A:A,'Production Log'!B:B,A54,'Production Log'!C:C,"Production")=0,IF(maxifs('Production Log'!A:A,'Production Log'!B:B,A54)=0,"",maxifs('Production Log'!A:A,'Production Log'!B:B,A54)),maxifs('Production Log'!A:A,'Production Log'!B:B,A54,'Production Log'!C:C,"Production")),"")</f>
        <v/>
      </c>
      <c r="V54" s="41" t="n"/>
      <c r="W54" s="45">
        <f>IF(E54="Completed","",IF(MIN(O54,Q54,R54)=0,"",MIN(O54,Q54,R54)))</f>
        <v/>
      </c>
      <c r="X54" s="46">
        <f>IF(W54="","",W54-TODAY())</f>
        <v/>
      </c>
      <c r="AG54">
        <f>IF(AND(A54&lt;&gt;"",E54&lt;&gt;"Completed"),COUNTIFS(A$13:A54,"&lt;&gt;",E$13:E54,"&lt;&gt;Completed"),"")</f>
        <v/>
      </c>
    </row>
    <row r="55" ht="15" customHeight="1" s="25">
      <c r="A55" s="40" t="n"/>
      <c r="B55" s="40" t="n"/>
      <c r="C55" s="41" t="n"/>
      <c r="D55" s="40" t="n"/>
      <c r="E55" s="40" t="n"/>
      <c r="F55" s="40" t="n"/>
      <c r="G55" s="40" t="n"/>
      <c r="H55" s="40" t="n"/>
      <c r="I55" s="41" t="n"/>
      <c r="J55" s="44" t="n"/>
      <c r="K55" s="44" t="n"/>
      <c r="L55" s="45" t="n"/>
      <c r="M55" s="45" t="n"/>
      <c r="N55" s="45" t="n"/>
      <c r="O55" s="45" t="n"/>
      <c r="P55" s="45" t="n"/>
      <c r="Q55" s="45" t="n"/>
      <c r="R55" s="45" t="n"/>
      <c r="S55" s="40" t="n"/>
      <c r="T55" s="41" t="n"/>
      <c r="U55" s="45">
        <f>IFERROR(IF(maxifs('Production Log'!A:A,'Production Log'!B:B,A55,'Production Log'!C:C,"Production")=0,IF(maxifs('Production Log'!A:A,'Production Log'!B:B,A55)=0,"",maxifs('Production Log'!A:A,'Production Log'!B:B,A55)),maxifs('Production Log'!A:A,'Production Log'!B:B,A55,'Production Log'!C:C,"Production")),"")</f>
        <v/>
      </c>
      <c r="V55" s="41" t="n"/>
      <c r="W55" s="45">
        <f>IF(E55="Completed","",IF(MIN(O55,Q55,R55)=0,"",MIN(O55,Q55,R55)))</f>
        <v/>
      </c>
      <c r="X55" s="46">
        <f>IF(W55="","",W55-TODAY())</f>
        <v/>
      </c>
      <c r="AG55">
        <f>IF(AND(A55&lt;&gt;"",E55&lt;&gt;"Completed"),COUNTIFS(A$13:A55,"&lt;&gt;",E$13:E55,"&lt;&gt;Completed"),"")</f>
        <v/>
      </c>
    </row>
    <row r="56" ht="15" customHeight="1" s="25">
      <c r="A56" s="40" t="n"/>
      <c r="B56" s="40" t="n"/>
      <c r="C56" s="41" t="n"/>
      <c r="D56" s="40" t="n"/>
      <c r="E56" s="40" t="n"/>
      <c r="F56" s="40" t="n"/>
      <c r="G56" s="40" t="n"/>
      <c r="H56" s="40" t="n"/>
      <c r="I56" s="41" t="n"/>
      <c r="J56" s="44" t="n"/>
      <c r="K56" s="44" t="n"/>
      <c r="L56" s="45" t="n"/>
      <c r="M56" s="45" t="n"/>
      <c r="N56" s="45" t="n"/>
      <c r="O56" s="45" t="n"/>
      <c r="P56" s="45" t="n"/>
      <c r="Q56" s="45" t="n"/>
      <c r="R56" s="45" t="n"/>
      <c r="S56" s="40" t="n"/>
      <c r="T56" s="41" t="n"/>
      <c r="U56" s="45">
        <f>IFERROR(IF(maxifs('Production Log'!A:A,'Production Log'!B:B,A56,'Production Log'!C:C,"Production")=0,IF(maxifs('Production Log'!A:A,'Production Log'!B:B,A56)=0,"",maxifs('Production Log'!A:A,'Production Log'!B:B,A56)),maxifs('Production Log'!A:A,'Production Log'!B:B,A56,'Production Log'!C:C,"Production")),"")</f>
        <v/>
      </c>
      <c r="V56" s="41" t="n"/>
      <c r="W56" s="45">
        <f>IF(E56="Completed","",IF(MIN(O56,Q56,R56)=0,"",MIN(O56,Q56,R56)))</f>
        <v/>
      </c>
      <c r="X56" s="46">
        <f>IF(W56="","",W56-TODAY())</f>
        <v/>
      </c>
      <c r="AG56">
        <f>IF(AND(A56&lt;&gt;"",E56&lt;&gt;"Completed"),COUNTIFS(A$13:A56,"&lt;&gt;",E$13:E56,"&lt;&gt;Completed"),"")</f>
        <v/>
      </c>
    </row>
    <row r="57" ht="15" customHeight="1" s="25">
      <c r="A57" s="40" t="n"/>
      <c r="B57" s="40" t="n"/>
      <c r="C57" s="41" t="n"/>
      <c r="D57" s="40" t="n"/>
      <c r="E57" s="40" t="n"/>
      <c r="F57" s="40" t="n"/>
      <c r="G57" s="40" t="n"/>
      <c r="H57" s="40" t="n"/>
      <c r="I57" s="41" t="n"/>
      <c r="J57" s="44" t="n"/>
      <c r="K57" s="44" t="n"/>
      <c r="L57" s="45" t="n"/>
      <c r="M57" s="45" t="n"/>
      <c r="N57" s="45" t="n"/>
      <c r="O57" s="45" t="n"/>
      <c r="P57" s="45" t="n"/>
      <c r="Q57" s="45" t="n"/>
      <c r="R57" s="45" t="n"/>
      <c r="S57" s="40" t="n"/>
      <c r="T57" s="41" t="n"/>
      <c r="U57" s="45">
        <f>IFERROR(IF(maxifs('Production Log'!A:A,'Production Log'!B:B,A57,'Production Log'!C:C,"Production")=0,IF(maxifs('Production Log'!A:A,'Production Log'!B:B,A57)=0,"",maxifs('Production Log'!A:A,'Production Log'!B:B,A57)),maxifs('Production Log'!A:A,'Production Log'!B:B,A57,'Production Log'!C:C,"Production")),"")</f>
        <v/>
      </c>
      <c r="V57" s="41" t="n"/>
      <c r="W57" s="45">
        <f>IF(E57="Completed","",IF(MIN(O57,Q57,R57)=0,"",MIN(O57,Q57,R57)))</f>
        <v/>
      </c>
      <c r="X57" s="46">
        <f>IF(W57="","",W57-TODAY())</f>
        <v/>
      </c>
      <c r="AG57">
        <f>IF(AND(A57&lt;&gt;"",E57&lt;&gt;"Completed"),COUNTIFS(A$13:A57,"&lt;&gt;",E$13:E57,"&lt;&gt;Completed"),"")</f>
        <v/>
      </c>
    </row>
    <row r="58" ht="15" customHeight="1" s="25">
      <c r="A58" s="40" t="n"/>
      <c r="B58" s="40" t="n"/>
      <c r="C58" s="41" t="n"/>
      <c r="D58" s="40" t="n"/>
      <c r="E58" s="40" t="n"/>
      <c r="F58" s="40" t="n"/>
      <c r="G58" s="40" t="n"/>
      <c r="H58" s="40" t="n"/>
      <c r="I58" s="41" t="n"/>
      <c r="J58" s="44" t="n"/>
      <c r="K58" s="44" t="n"/>
      <c r="L58" s="45" t="n"/>
      <c r="M58" s="45" t="n"/>
      <c r="N58" s="45" t="n"/>
      <c r="O58" s="45" t="n"/>
      <c r="P58" s="45" t="n"/>
      <c r="Q58" s="45" t="n"/>
      <c r="R58" s="45" t="n"/>
      <c r="S58" s="40" t="n"/>
      <c r="T58" s="41" t="n"/>
      <c r="U58" s="45">
        <f>IFERROR(IF(maxifs('Production Log'!A:A,'Production Log'!B:B,A58,'Production Log'!C:C,"Production")=0,IF(maxifs('Production Log'!A:A,'Production Log'!B:B,A58)=0,"",maxifs('Production Log'!A:A,'Production Log'!B:B,A58)),maxifs('Production Log'!A:A,'Production Log'!B:B,A58,'Production Log'!C:C,"Production")),"")</f>
        <v/>
      </c>
      <c r="V58" s="41" t="n"/>
      <c r="W58" s="45">
        <f>IF(E58="Completed","",IF(MIN(O58,Q58,R58)=0,"",MIN(O58,Q58,R58)))</f>
        <v/>
      </c>
      <c r="X58" s="46">
        <f>IF(W58="","",W58-TODAY())</f>
        <v/>
      </c>
      <c r="AG58">
        <f>IF(AND(A58&lt;&gt;"",E58&lt;&gt;"Completed"),COUNTIFS(A$13:A58,"&lt;&gt;",E$13:E58,"&lt;&gt;Completed"),"")</f>
        <v/>
      </c>
    </row>
    <row r="59" ht="15" customHeight="1" s="25">
      <c r="A59" s="40" t="n"/>
      <c r="B59" s="40" t="n"/>
      <c r="C59" s="41" t="n"/>
      <c r="D59" s="40" t="n"/>
      <c r="E59" s="40" t="n"/>
      <c r="F59" s="40" t="n"/>
      <c r="G59" s="40" t="n"/>
      <c r="H59" s="40" t="n"/>
      <c r="I59" s="41" t="n"/>
      <c r="J59" s="44" t="n"/>
      <c r="K59" s="44" t="n"/>
      <c r="L59" s="45" t="n"/>
      <c r="M59" s="45" t="n"/>
      <c r="N59" s="45" t="n"/>
      <c r="O59" s="45" t="n"/>
      <c r="P59" s="45" t="n"/>
      <c r="Q59" s="45" t="n"/>
      <c r="R59" s="45" t="n"/>
      <c r="S59" s="40" t="n"/>
      <c r="T59" s="41" t="n"/>
      <c r="U59" s="45">
        <f>IFERROR(IF(maxifs('Production Log'!A:A,'Production Log'!B:B,A59,'Production Log'!C:C,"Production")=0,IF(maxifs('Production Log'!A:A,'Production Log'!B:B,A59)=0,"",maxifs('Production Log'!A:A,'Production Log'!B:B,A59)),maxifs('Production Log'!A:A,'Production Log'!B:B,A59,'Production Log'!C:C,"Production")),"")</f>
        <v/>
      </c>
      <c r="V59" s="41" t="n"/>
      <c r="W59" s="45">
        <f>IF(E59="Completed","",IF(MIN(O59,Q59,R59)=0,"",MIN(O59,Q59,R59)))</f>
        <v/>
      </c>
      <c r="X59" s="46">
        <f>IF(W59="","",W59-TODAY())</f>
        <v/>
      </c>
      <c r="AG59">
        <f>IF(AND(A59&lt;&gt;"",E59&lt;&gt;"Completed"),COUNTIFS(A$13:A59,"&lt;&gt;",E$13:E59,"&lt;&gt;Completed"),"")</f>
        <v/>
      </c>
    </row>
    <row r="60" ht="15" customHeight="1" s="25">
      <c r="A60" s="40" t="n"/>
      <c r="B60" s="40" t="n"/>
      <c r="C60" s="41" t="n"/>
      <c r="D60" s="40" t="n"/>
      <c r="E60" s="40" t="n"/>
      <c r="F60" s="40" t="n"/>
      <c r="G60" s="40" t="n"/>
      <c r="H60" s="40" t="n"/>
      <c r="I60" s="41" t="n"/>
      <c r="J60" s="44" t="n"/>
      <c r="K60" s="44" t="n"/>
      <c r="L60" s="45" t="n"/>
      <c r="M60" s="45" t="n"/>
      <c r="N60" s="45" t="n"/>
      <c r="O60" s="45" t="n"/>
      <c r="P60" s="45" t="n"/>
      <c r="Q60" s="45" t="n"/>
      <c r="R60" s="45" t="n"/>
      <c r="S60" s="40" t="n"/>
      <c r="T60" s="41" t="n"/>
      <c r="U60" s="45">
        <f>IFERROR(IF(maxifs('Production Log'!A:A,'Production Log'!B:B,A60,'Production Log'!C:C,"Production")=0,IF(maxifs('Production Log'!A:A,'Production Log'!B:B,A60)=0,"",maxifs('Production Log'!A:A,'Production Log'!B:B,A60)),maxifs('Production Log'!A:A,'Production Log'!B:B,A60,'Production Log'!C:C,"Production")),"")</f>
        <v/>
      </c>
      <c r="V60" s="41" t="n"/>
      <c r="W60" s="45">
        <f>IF(E60="Completed","",IF(MIN(O60,Q60,R60)=0,"",MIN(O60,Q60,R60)))</f>
        <v/>
      </c>
      <c r="X60" s="46">
        <f>IF(W60="","",W60-TODAY())</f>
        <v/>
      </c>
      <c r="AG60">
        <f>IF(AND(A60&lt;&gt;"",E60&lt;&gt;"Completed"),COUNTIFS(A$13:A60,"&lt;&gt;",E$13:E60,"&lt;&gt;Completed"),"")</f>
        <v/>
      </c>
    </row>
    <row r="61" ht="15" customHeight="1" s="25">
      <c r="A61" s="40" t="n"/>
      <c r="B61" s="40" t="n"/>
      <c r="C61" s="41" t="n"/>
      <c r="D61" s="40" t="n"/>
      <c r="E61" s="40" t="n"/>
      <c r="F61" s="40" t="n"/>
      <c r="G61" s="40" t="n"/>
      <c r="H61" s="40" t="n"/>
      <c r="I61" s="41" t="n"/>
      <c r="J61" s="44" t="n"/>
      <c r="K61" s="44" t="n"/>
      <c r="L61" s="45" t="n"/>
      <c r="M61" s="45" t="n"/>
      <c r="N61" s="45" t="n"/>
      <c r="O61" s="45" t="n"/>
      <c r="P61" s="45" t="n"/>
      <c r="Q61" s="45" t="n"/>
      <c r="R61" s="45" t="n"/>
      <c r="S61" s="40" t="n"/>
      <c r="T61" s="41" t="n"/>
      <c r="U61" s="45">
        <f>IFERROR(IF(maxifs('Production Log'!A:A,'Production Log'!B:B,A61,'Production Log'!C:C,"Production")=0,IF(maxifs('Production Log'!A:A,'Production Log'!B:B,A61)=0,"",maxifs('Production Log'!A:A,'Production Log'!B:B,A61)),maxifs('Production Log'!A:A,'Production Log'!B:B,A61,'Production Log'!C:C,"Production")),"")</f>
        <v/>
      </c>
      <c r="V61" s="41" t="n"/>
      <c r="W61" s="45">
        <f>IF(E61="Completed","",IF(MIN(O61,Q61,R61)=0,"",MIN(O61,Q61,R61)))</f>
        <v/>
      </c>
      <c r="X61" s="46">
        <f>IF(W61="","",W61-TODAY())</f>
        <v/>
      </c>
      <c r="AG61">
        <f>IF(AND(A61&lt;&gt;"",E61&lt;&gt;"Completed"),COUNTIFS(A$13:A61,"&lt;&gt;",E$13:E61,"&lt;&gt;Completed"),"")</f>
        <v/>
      </c>
    </row>
    <row r="62" ht="15" customHeight="1" s="25">
      <c r="A62" s="40" t="n"/>
      <c r="B62" s="40" t="n"/>
      <c r="C62" s="41" t="n"/>
      <c r="D62" s="40" t="n"/>
      <c r="E62" s="40" t="n"/>
      <c r="F62" s="40" t="n"/>
      <c r="G62" s="40" t="n"/>
      <c r="H62" s="40" t="n"/>
      <c r="I62" s="41" t="n"/>
      <c r="J62" s="44" t="n"/>
      <c r="K62" s="44" t="n"/>
      <c r="L62" s="45" t="n"/>
      <c r="M62" s="45" t="n"/>
      <c r="N62" s="45" t="n"/>
      <c r="O62" s="45" t="n"/>
      <c r="P62" s="45" t="n"/>
      <c r="Q62" s="45" t="n"/>
      <c r="R62" s="45" t="n"/>
      <c r="S62" s="40" t="n"/>
      <c r="T62" s="41" t="n"/>
      <c r="U62" s="45">
        <f>IFERROR(IF(maxifs('Production Log'!A:A,'Production Log'!B:B,A62,'Production Log'!C:C,"Production")=0,IF(maxifs('Production Log'!A:A,'Production Log'!B:B,A62)=0,"",maxifs('Production Log'!A:A,'Production Log'!B:B,A62)),maxifs('Production Log'!A:A,'Production Log'!B:B,A62,'Production Log'!C:C,"Production")),"")</f>
        <v/>
      </c>
      <c r="V62" s="41" t="n"/>
      <c r="W62" s="45">
        <f>IF(E62="Completed","",IF(MIN(O62,Q62,R62)=0,"",MIN(O62,Q62,R62)))</f>
        <v/>
      </c>
      <c r="X62" s="46">
        <f>IF(W62="","",W62-TODAY())</f>
        <v/>
      </c>
      <c r="AG62">
        <f>IF(AND(A62&lt;&gt;"",E62&lt;&gt;"Completed"),COUNTIFS(A$13:A62,"&lt;&gt;",E$13:E62,"&lt;&gt;Completed"),"")</f>
        <v/>
      </c>
    </row>
  </sheetData>
  <autoFilter ref="A12:V62"/>
  <mergeCells count="2">
    <mergeCell ref="A1:I1"/>
    <mergeCell ref="A2:I2"/>
  </mergeCells>
  <conditionalFormatting sqref="E13:E62">
    <cfRule type="expression" rank="0" priority="2" equalAverage="0" aboveAverage="0" dxfId="15" text="" percent="0" bottom="0">
      <formula>EXACT($E13,"1. Quote Requested")</formula>
    </cfRule>
    <cfRule type="expression" rank="0" priority="3" equalAverage="0" aboveAverage="0" dxfId="16" text="" percent="0" bottom="0">
      <formula>EXACT($E13,"2. Quote Sent to Customer")</formula>
    </cfRule>
    <cfRule type="expression" rank="0" priority="4" equalAverage="0" aboveAverage="0" dxfId="17" text="" percent="0" bottom="0">
      <formula>EXACT($E13,"3. Customer PO Received")</formula>
    </cfRule>
    <cfRule type="expression" rank="0" priority="5" equalAverage="0" aboveAverage="0" dxfId="18" text="" percent="0" bottom="0">
      <formula>EXACT($E13,"4. PO Issued to Molder")</formula>
    </cfRule>
    <cfRule type="expression" rank="0" priority="6" equalAverage="0" aboveAverage="0" dxfId="19" text="" percent="0" bottom="0">
      <formula>EXACT($E13,"5. Mold in Production")</formula>
    </cfRule>
    <cfRule type="expression" rank="0" priority="7" equalAverage="0" aboveAverage="0" dxfId="20" text="" percent="0" bottom="0">
      <formula>EXACT($E13,"6. Sample / FAI Approval")</formula>
    </cfRule>
    <cfRule type="expression" rank="0" priority="8" equalAverage="0" aboveAverage="0" dxfId="21" text="" percent="0" bottom="0">
      <formula>EXACT($E13,"7. Production &amp; Shipping")</formula>
    </cfRule>
    <cfRule type="expression" rank="0" priority="9" equalAverage="0" aboveAverage="0" dxfId="22" text="" percent="0" bottom="0">
      <formula>EXACT($E13,"Completed")</formula>
    </cfRule>
  </conditionalFormatting>
  <conditionalFormatting sqref="X13:X62">
    <cfRule type="cellIs" rank="0" priority="10" equalAverage="0" operator="lessThan" aboveAverage="0" dxfId="24" text="" percent="0" bottom="0">
      <formula>0</formula>
    </cfRule>
    <cfRule type="cellIs" rank="0" priority="11" equalAverage="0" operator="between" aboveAverage="0" dxfId="25" text="" percent="0" bottom="0">
      <formula>0</formula>
      <formula>7</formula>
    </cfRule>
    <cfRule type="cellIs" rank="0" priority="12" equalAverage="0" operator="greaterThan" aboveAverage="0" dxfId="26" text="" percent="0" bottom="0">
      <formula>7</formula>
    </cfRule>
  </conditionalFormatting>
  <conditionalFormatting sqref="A13:V62">
    <cfRule type="expression" rank="0" priority="13" equalAverage="0" aboveAverage="0" dxfId="14" text="" percent="0" bottom="0">
      <formula>$E13="Completed"</formula>
    </cfRule>
    <cfRule type="expression" rank="0" priority="14" equalAverage="0" aboveAverage="0" dxfId="27" text="" percent="0" bottom="0">
      <formula>AND($X13&lt;&gt;"",$X13&lt;0,$E13&lt;&gt;"Completed")</formula>
    </cfRule>
  </conditionalFormatting>
  <dataValidations count="4">
    <dataValidation sqref="E13:E62" showDropDown="0" showInputMessage="0" showErrorMessage="0" allowBlank="1" type="list" errorStyle="stop" operator="between">
      <formula1>"1. Quote Requested,2. Quote Sent to Customer,3. Customer PO Received,4. PO Issued to Molder,5. Mold in Production,6. Sample / FAI Approval,7. Production &amp; Shipping,Completed"</formula1>
      <formula2>0</formula2>
    </dataValidation>
    <dataValidation sqref="S13:S62" showDropDown="0" showInputMessage="0" showErrorMessage="0" allowBlank="1" type="list" errorStyle="stop" operator="between">
      <formula1>"UPS,FedEx,USPS,DHL,Freight (LTL),Customer Pickup"</formula1>
      <formula2>0</formula2>
    </dataValidation>
    <dataValidation sqref="B13:B62" showDropDown="0" showInputMessage="0" showErrorMessage="0" allowBlank="1" type="list" errorStyle="stop" operator="between">
      <formula1>CustomerList</formula1>
      <formula2>0</formula2>
    </dataValidation>
    <dataValidation sqref="D13:D62" showDropDown="0" showInputMessage="0" showErrorMessage="0" allowBlank="1" type="list" errorStyle="stop" operator="between">
      <formula1>MolderList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AC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4" min="1" max="1"/>
    <col width="22" customWidth="1" style="24" min="2" max="3"/>
    <col width="24" customWidth="1" style="24" min="4" max="5"/>
    <col width="11" customWidth="1" style="24" min="6" max="6"/>
    <col width="14" customWidth="1" style="24" min="7" max="8"/>
    <col width="30" customWidth="1" style="24" min="9" max="9"/>
    <col width="13" customWidth="1" style="24" min="10" max="11"/>
    <col width="12" customWidth="1" style="24" min="12" max="12"/>
    <col width="11" customWidth="1" style="24" min="13" max="13"/>
    <col width="13" customWidth="1" style="24" min="14" max="16"/>
    <col width="15" customWidth="1" style="24" min="17" max="17"/>
    <col width="24" customWidth="1" style="24" min="18" max="18"/>
    <col hidden="1" width="12" customWidth="1" style="24" min="19" max="19"/>
    <col hidden="1" width="11" customWidth="1" style="24" min="20" max="20"/>
  </cols>
  <sheetData>
    <row r="1" ht="22.05" customHeight="1" s="25">
      <c r="A1" s="26" t="inlineStr">
        <is>
          <t>Reorders</t>
        </is>
      </c>
    </row>
    <row r="2" ht="15" customHeight="1" s="25">
      <c r="A2" s="27" t="inlineStr">
        <is>
          <t>Repeat orders against existing molds. 3 stages: Customer PO -&gt; Molder PO -&gt; Production &amp; Shipping.</t>
        </is>
      </c>
    </row>
    <row r="12" ht="31.5" customHeight="1" s="25">
      <c r="A12" s="37" t="inlineStr">
        <is>
          <t>Job #</t>
        </is>
      </c>
      <c r="B12" s="37" t="inlineStr">
        <is>
          <t>Customer</t>
        </is>
      </c>
      <c r="C12" s="37" t="inlineStr">
        <is>
          <t>Part Name</t>
        </is>
      </c>
      <c r="D12" s="37" t="inlineStr">
        <is>
          <t>Molder</t>
        </is>
      </c>
      <c r="E12" s="37" t="inlineStr">
        <is>
          <t>Stage</t>
        </is>
      </c>
      <c r="F12" s="37" t="inlineStr">
        <is>
          <t>Owner</t>
        </is>
      </c>
      <c r="G12" s="37" t="inlineStr">
        <is>
          <t>Customer PO #</t>
        </is>
      </c>
      <c r="H12" s="37" t="inlineStr">
        <is>
          <t>Molder PO #</t>
        </is>
      </c>
      <c r="I12" s="37" t="inlineStr">
        <is>
          <t>Next Action / Waiting On</t>
        </is>
      </c>
      <c r="J12" s="37" t="inlineStr">
        <is>
          <t>Customer PO ($)</t>
        </is>
      </c>
      <c r="K12" s="37" t="inlineStr">
        <is>
          <t>Molder PO ($)</t>
        </is>
      </c>
      <c r="L12" s="37" t="inlineStr">
        <is>
          <t>Mold ID</t>
        </is>
      </c>
      <c r="M12" s="37" t="inlineStr">
        <is>
          <t>Quantity</t>
        </is>
      </c>
      <c r="N12" s="37" t="inlineStr">
        <is>
          <t>Customer PO Date</t>
        </is>
      </c>
      <c r="O12" s="37" t="inlineStr">
        <is>
          <t>Molder PO Date</t>
        </is>
      </c>
      <c r="P12" s="37" t="inlineStr">
        <is>
          <t>Ship-By Date</t>
        </is>
      </c>
      <c r="Q12" s="37" t="inlineStr">
        <is>
          <t>Last Production Ship</t>
        </is>
      </c>
      <c r="R12" s="37" t="inlineStr">
        <is>
          <t>Notes</t>
        </is>
      </c>
      <c r="S12" s="37" t="inlineStr">
        <is>
          <t>Next Deadline</t>
        </is>
      </c>
      <c r="T12" s="37" t="inlineStr">
        <is>
          <t>Days Until Deadline</t>
        </is>
      </c>
      <c r="U12" s="24" t="inlineStr">
        <is>
          <t>Cust Invoice #</t>
        </is>
      </c>
      <c r="V12" s="24" t="inlineStr">
        <is>
          <t>Cust Invoice Date</t>
        </is>
      </c>
      <c r="W12" s="24" t="inlineStr">
        <is>
          <t>Cust Invoice Sent Date</t>
        </is>
      </c>
      <c r="X12" s="24" t="inlineStr">
        <is>
          <t>Cust Invoice Status</t>
        </is>
      </c>
      <c r="Y12" s="24" t="inlineStr">
        <is>
          <t>Molder Invoice #</t>
        </is>
      </c>
      <c r="Z12" s="24" t="inlineStr">
        <is>
          <t>Molder Invoice Date</t>
        </is>
      </c>
      <c r="AA12" s="24" t="inlineStr">
        <is>
          <t>Molder Invoice Amount ($)</t>
        </is>
      </c>
      <c r="AB12" s="24" t="inlineStr">
        <is>
          <t>Molder Invoice Status</t>
        </is>
      </c>
      <c r="AC12" t="inlineStr">
        <is>
          <t>_Seq</t>
        </is>
      </c>
    </row>
    <row r="13" ht="15" customHeight="1" s="25">
      <c r="A13" s="40" t="inlineStr">
        <is>
          <t>JOB-2026-104</t>
        </is>
      </c>
      <c r="B13" s="40" t="inlineStr">
        <is>
          <t>Cedar Outdoor Co.</t>
        </is>
      </c>
      <c r="C13" s="41" t="inlineStr">
        <is>
          <t>Cedar Cup Lid</t>
        </is>
      </c>
      <c r="D13" s="40" t="inlineStr">
        <is>
          <t>Pacific Injection Co.</t>
        </is>
      </c>
      <c r="E13" s="40" t="inlineStr">
        <is>
          <t>3. Production &amp; Shipping</t>
        </is>
      </c>
      <c r="F13" s="40" t="inlineStr">
        <is>
          <t>Andrew</t>
        </is>
      </c>
      <c r="G13" s="40" t="inlineStr">
        <is>
          <t>PO-CD-1207</t>
        </is>
      </c>
      <c r="H13" s="40" t="inlineStr">
        <is>
          <t>PO-PAC-0451</t>
        </is>
      </c>
      <c r="I13" s="41" t="inlineStr">
        <is>
          <t>Production scheduled wk of 5/4</t>
        </is>
      </c>
      <c r="J13" s="44" t="n">
        <v>21000</v>
      </c>
      <c r="K13" s="44" t="n">
        <v>13800</v>
      </c>
      <c r="L13" s="40" t="inlineStr">
        <is>
          <t>MOLD-1003</t>
        </is>
      </c>
      <c r="M13" s="47" t="n">
        <v>50000</v>
      </c>
      <c r="N13" s="45" t="n">
        <v>46120</v>
      </c>
      <c r="O13" s="45" t="n">
        <v>46124</v>
      </c>
      <c r="P13" s="45" t="n">
        <v>46157</v>
      </c>
      <c r="Q13" s="45">
        <f>IFERROR(IF(maxifs('Production Log'!A:A,'Production Log'!B:B,A13)=0,"",maxifs('Production Log'!A:A,'Production Log'!B:B,A13)),"")</f>
        <v/>
      </c>
      <c r="R13" s="41" t="n"/>
      <c r="S13" s="45">
        <f>IF(E13="Completed","",IF(P13=0,"",P13))</f>
        <v/>
      </c>
      <c r="T13" s="46">
        <f>IF(S13="","",S13-TODAY())</f>
        <v/>
      </c>
      <c r="AC13">
        <f>IF(AND(A13&lt;&gt;"",E13&lt;&gt;"Completed"),COUNTIFS(A$13:A13,"&lt;&gt;",E$13:E13,"&lt;&gt;Completed"),"")</f>
        <v/>
      </c>
    </row>
    <row r="14" ht="15" customHeight="1" s="25">
      <c r="A14" s="40" t="inlineStr">
        <is>
          <t>JOB-2026-106</t>
        </is>
      </c>
      <c r="B14" s="40" t="inlineStr">
        <is>
          <t>Beacon Electronics</t>
        </is>
      </c>
      <c r="C14" s="41" t="inlineStr">
        <is>
          <t>Beacon Housing v2</t>
        </is>
      </c>
      <c r="D14" s="40" t="inlineStr">
        <is>
          <t>Summit Mold Works</t>
        </is>
      </c>
      <c r="E14" s="40" t="inlineStr">
        <is>
          <t>1. Customer PO Received</t>
        </is>
      </c>
      <c r="F14" s="40" t="inlineStr">
        <is>
          <t>Andrew</t>
        </is>
      </c>
      <c r="G14" s="40" t="inlineStr">
        <is>
          <t>PO-BE-3415</t>
        </is>
      </c>
      <c r="H14" s="40" t="n"/>
      <c r="I14" s="41" t="inlineStr">
        <is>
          <t>Cut molder PO this week</t>
        </is>
      </c>
      <c r="J14" s="44" t="n">
        <v>18900</v>
      </c>
      <c r="K14" s="44" t="n">
        <v>12100</v>
      </c>
      <c r="L14" s="40" t="inlineStr">
        <is>
          <t>MOLD-1002</t>
        </is>
      </c>
      <c r="M14" s="47" t="n">
        <v>5000</v>
      </c>
      <c r="N14" s="45" t="n">
        <v>46130</v>
      </c>
      <c r="O14" s="45" t="n"/>
      <c r="P14" s="45" t="n">
        <v>46183</v>
      </c>
      <c r="Q14" s="45">
        <f>IFERROR(IF(maxifs('Production Log'!A:A,'Production Log'!B:B,A14)=0,"",maxifs('Production Log'!A:A,'Production Log'!B:B,A14)),"")</f>
        <v/>
      </c>
      <c r="R14" s="41" t="n"/>
      <c r="S14" s="45">
        <f>IF(E14="Completed","",IF(P14=0,"",P14))</f>
        <v/>
      </c>
      <c r="T14" s="46">
        <f>IF(S14="","",S14-TODAY())</f>
        <v/>
      </c>
      <c r="AC14">
        <f>IF(AND(A14&lt;&gt;"",E14&lt;&gt;"Completed"),COUNTIFS(A$13:A14,"&lt;&gt;",E$13:E14,"&lt;&gt;Completed"),"")</f>
        <v/>
      </c>
    </row>
    <row r="15" ht="15" customHeight="1" s="25">
      <c r="A15" s="40" t="inlineStr">
        <is>
          <t>JOB-2026-100</t>
        </is>
      </c>
      <c r="B15" s="40" t="inlineStr">
        <is>
          <t>Drift Medical</t>
        </is>
      </c>
      <c r="C15" s="41" t="inlineStr">
        <is>
          <t>Drift Connector v1</t>
        </is>
      </c>
      <c r="D15" s="40" t="inlineStr">
        <is>
          <t>Precision Plastics LLC</t>
        </is>
      </c>
      <c r="E15" s="40" t="inlineStr">
        <is>
          <t>Completed</t>
        </is>
      </c>
      <c r="F15" s="40" t="inlineStr">
        <is>
          <t>Andrew</t>
        </is>
      </c>
      <c r="G15" s="40" t="inlineStr">
        <is>
          <t>PO-DM-2200</t>
        </is>
      </c>
      <c r="H15" s="40" t="inlineStr">
        <is>
          <t>PO-PP-1130</t>
        </is>
      </c>
      <c r="I15" s="41" t="inlineStr">
        <is>
          <t>Shipped &amp; delivered</t>
        </is>
      </c>
      <c r="J15" s="44" t="n">
        <v>8500</v>
      </c>
      <c r="K15" s="44" t="n">
        <v>5400</v>
      </c>
      <c r="L15" s="40" t="inlineStr">
        <is>
          <t>MOLD-1004</t>
        </is>
      </c>
      <c r="M15" s="47" t="n">
        <v>2500</v>
      </c>
      <c r="N15" s="45" t="n">
        <v>46086</v>
      </c>
      <c r="O15" s="45" t="n">
        <v>46091</v>
      </c>
      <c r="P15" s="45" t="n">
        <v>46132</v>
      </c>
      <c r="Q15" s="45">
        <f>IFERROR(IF(maxifs('Production Log'!A:A,'Production Log'!B:B,A15)=0,"",maxifs('Production Log'!A:A,'Production Log'!B:B,A15)),"")</f>
        <v/>
      </c>
      <c r="R15" s="41" t="n"/>
      <c r="S15" s="45">
        <f>IF(E15="Completed","",IF(P15=0,"",P15))</f>
        <v/>
      </c>
      <c r="T15" s="46">
        <f>IF(S15="","",S15-TODAY())</f>
        <v/>
      </c>
      <c r="AC15">
        <f>IF(AND(A15&lt;&gt;"",E15&lt;&gt;"Completed"),COUNTIFS(A$13:A15,"&lt;&gt;",E$13:E15,"&lt;&gt;Completed"),"")</f>
        <v/>
      </c>
    </row>
    <row r="16" ht="15" customHeight="1" s="25">
      <c r="A16" s="40" t="n"/>
      <c r="B16" s="40" t="n"/>
      <c r="C16" s="41" t="n"/>
      <c r="D16" s="40" t="n"/>
      <c r="E16" s="40" t="n"/>
      <c r="F16" s="40" t="n"/>
      <c r="G16" s="40" t="n"/>
      <c r="H16" s="40" t="n"/>
      <c r="I16" s="41" t="n"/>
      <c r="J16" s="44" t="n"/>
      <c r="K16" s="44" t="n"/>
      <c r="L16" s="40" t="n"/>
      <c r="M16" s="47" t="n"/>
      <c r="N16" s="45" t="n"/>
      <c r="O16" s="45" t="n"/>
      <c r="P16" s="45" t="n"/>
      <c r="Q16" s="45">
        <f>IFERROR(IF(maxifs('Production Log'!A:A,'Production Log'!B:B,A16)=0,"",maxifs('Production Log'!A:A,'Production Log'!B:B,A16)),"")</f>
        <v/>
      </c>
      <c r="R16" s="41" t="n"/>
      <c r="S16" s="45">
        <f>IF(E16="Completed","",IF(P16=0,"",P16))</f>
        <v/>
      </c>
      <c r="T16" s="46">
        <f>IF(S16="","",S16-TODAY())</f>
        <v/>
      </c>
      <c r="AC16">
        <f>IF(AND(A16&lt;&gt;"",E16&lt;&gt;"Completed"),COUNTIFS(A$13:A16,"&lt;&gt;",E$13:E16,"&lt;&gt;Completed"),"")</f>
        <v/>
      </c>
    </row>
    <row r="17" ht="15" customHeight="1" s="25">
      <c r="A17" s="40" t="n"/>
      <c r="B17" s="40" t="n"/>
      <c r="C17" s="41" t="n"/>
      <c r="D17" s="40" t="n"/>
      <c r="E17" s="40" t="n"/>
      <c r="F17" s="40" t="n"/>
      <c r="G17" s="40" t="n"/>
      <c r="H17" s="40" t="n"/>
      <c r="I17" s="41" t="n"/>
      <c r="J17" s="44" t="n"/>
      <c r="K17" s="44" t="n"/>
      <c r="L17" s="40" t="n"/>
      <c r="M17" s="47" t="n"/>
      <c r="N17" s="45" t="n"/>
      <c r="O17" s="45" t="n"/>
      <c r="P17" s="45" t="n"/>
      <c r="Q17" s="45">
        <f>IFERROR(IF(maxifs('Production Log'!A:A,'Production Log'!B:B,A17)=0,"",maxifs('Production Log'!A:A,'Production Log'!B:B,A17)),"")</f>
        <v/>
      </c>
      <c r="R17" s="41" t="n"/>
      <c r="S17" s="45">
        <f>IF(E17="Completed","",IF(P17=0,"",P17))</f>
        <v/>
      </c>
      <c r="T17" s="46">
        <f>IF(S17="","",S17-TODAY())</f>
        <v/>
      </c>
      <c r="AC17">
        <f>IF(AND(A17&lt;&gt;"",E17&lt;&gt;"Completed"),COUNTIFS(A$13:A17,"&lt;&gt;",E$13:E17,"&lt;&gt;Completed"),"")</f>
        <v/>
      </c>
    </row>
    <row r="18" ht="15" customHeight="1" s="25">
      <c r="A18" s="40" t="n"/>
      <c r="B18" s="40" t="n"/>
      <c r="C18" s="41" t="n"/>
      <c r="D18" s="40" t="n"/>
      <c r="E18" s="40" t="n"/>
      <c r="F18" s="40" t="n"/>
      <c r="G18" s="40" t="n"/>
      <c r="H18" s="40" t="n"/>
      <c r="I18" s="41" t="n"/>
      <c r="J18" s="44" t="n"/>
      <c r="K18" s="44" t="n"/>
      <c r="L18" s="40" t="n"/>
      <c r="M18" s="47" t="n"/>
      <c r="N18" s="45" t="n"/>
      <c r="O18" s="45" t="n"/>
      <c r="P18" s="45" t="n"/>
      <c r="Q18" s="45">
        <f>IFERROR(IF(maxifs('Production Log'!A:A,'Production Log'!B:B,A18)=0,"",maxifs('Production Log'!A:A,'Production Log'!B:B,A18)),"")</f>
        <v/>
      </c>
      <c r="R18" s="41" t="n"/>
      <c r="S18" s="45">
        <f>IF(E18="Completed","",IF(P18=0,"",P18))</f>
        <v/>
      </c>
      <c r="T18" s="46">
        <f>IF(S18="","",S18-TODAY())</f>
        <v/>
      </c>
      <c r="AC18">
        <f>IF(AND(A18&lt;&gt;"",E18&lt;&gt;"Completed"),COUNTIFS(A$13:A18,"&lt;&gt;",E$13:E18,"&lt;&gt;Completed"),"")</f>
        <v/>
      </c>
    </row>
    <row r="19" ht="15" customHeight="1" s="25">
      <c r="A19" s="40" t="n"/>
      <c r="B19" s="40" t="n"/>
      <c r="C19" s="41" t="n"/>
      <c r="D19" s="40" t="n"/>
      <c r="E19" s="40" t="n"/>
      <c r="F19" s="40" t="n"/>
      <c r="G19" s="40" t="n"/>
      <c r="H19" s="40" t="n"/>
      <c r="I19" s="41" t="n"/>
      <c r="J19" s="44" t="n"/>
      <c r="K19" s="44" t="n"/>
      <c r="L19" s="40" t="n"/>
      <c r="M19" s="47" t="n"/>
      <c r="N19" s="45" t="n"/>
      <c r="O19" s="45" t="n"/>
      <c r="P19" s="45" t="n"/>
      <c r="Q19" s="45">
        <f>IFERROR(IF(maxifs('Production Log'!A:A,'Production Log'!B:B,A19)=0,"",maxifs('Production Log'!A:A,'Production Log'!B:B,A19)),"")</f>
        <v/>
      </c>
      <c r="R19" s="41" t="n"/>
      <c r="S19" s="45">
        <f>IF(E19="Completed","",IF(P19=0,"",P19))</f>
        <v/>
      </c>
      <c r="T19" s="46">
        <f>IF(S19="","",S19-TODAY())</f>
        <v/>
      </c>
      <c r="AC19">
        <f>IF(AND(A19&lt;&gt;"",E19&lt;&gt;"Completed"),COUNTIFS(A$13:A19,"&lt;&gt;",E$13:E19,"&lt;&gt;Completed"),"")</f>
        <v/>
      </c>
    </row>
    <row r="20" ht="15" customHeight="1" s="25">
      <c r="A20" s="40" t="n"/>
      <c r="B20" s="40" t="n"/>
      <c r="C20" s="41" t="n"/>
      <c r="D20" s="40" t="n"/>
      <c r="E20" s="40" t="n"/>
      <c r="F20" s="40" t="n"/>
      <c r="G20" s="40" t="n"/>
      <c r="H20" s="40" t="n"/>
      <c r="I20" s="41" t="n"/>
      <c r="J20" s="44" t="n"/>
      <c r="K20" s="44" t="n"/>
      <c r="L20" s="40" t="n"/>
      <c r="M20" s="47" t="n"/>
      <c r="N20" s="45" t="n"/>
      <c r="O20" s="45" t="n"/>
      <c r="P20" s="45" t="n"/>
      <c r="Q20" s="45">
        <f>IFERROR(IF(maxifs('Production Log'!A:A,'Production Log'!B:B,A20)=0,"",maxifs('Production Log'!A:A,'Production Log'!B:B,A20)),"")</f>
        <v/>
      </c>
      <c r="R20" s="41" t="n"/>
      <c r="S20" s="45">
        <f>IF(E20="Completed","",IF(P20=0,"",P20))</f>
        <v/>
      </c>
      <c r="T20" s="46">
        <f>IF(S20="","",S20-TODAY())</f>
        <v/>
      </c>
      <c r="AC20">
        <f>IF(AND(A20&lt;&gt;"",E20&lt;&gt;"Completed"),COUNTIFS(A$13:A20,"&lt;&gt;",E$13:E20,"&lt;&gt;Completed"),"")</f>
        <v/>
      </c>
    </row>
    <row r="21" ht="15" customHeight="1" s="25">
      <c r="A21" s="40" t="n"/>
      <c r="B21" s="40" t="n"/>
      <c r="C21" s="41" t="n"/>
      <c r="D21" s="40" t="n"/>
      <c r="E21" s="40" t="n"/>
      <c r="F21" s="40" t="n"/>
      <c r="G21" s="40" t="n"/>
      <c r="H21" s="40" t="n"/>
      <c r="I21" s="41" t="n"/>
      <c r="J21" s="44" t="n"/>
      <c r="K21" s="44" t="n"/>
      <c r="L21" s="40" t="n"/>
      <c r="M21" s="47" t="n"/>
      <c r="N21" s="45" t="n"/>
      <c r="O21" s="45" t="n"/>
      <c r="P21" s="45" t="n"/>
      <c r="Q21" s="45">
        <f>IFERROR(IF(maxifs('Production Log'!A:A,'Production Log'!B:B,A21)=0,"",maxifs('Production Log'!A:A,'Production Log'!B:B,A21)),"")</f>
        <v/>
      </c>
      <c r="R21" s="41" t="n"/>
      <c r="S21" s="45">
        <f>IF(E21="Completed","",IF(P21=0,"",P21))</f>
        <v/>
      </c>
      <c r="T21" s="46">
        <f>IF(S21="","",S21-TODAY())</f>
        <v/>
      </c>
      <c r="AC21">
        <f>IF(AND(A21&lt;&gt;"",E21&lt;&gt;"Completed"),COUNTIFS(A$13:A21,"&lt;&gt;",E$13:E21,"&lt;&gt;Completed"),"")</f>
        <v/>
      </c>
    </row>
    <row r="22" ht="15" customHeight="1" s="25">
      <c r="A22" s="40" t="n"/>
      <c r="B22" s="40" t="n"/>
      <c r="C22" s="41" t="n"/>
      <c r="D22" s="40" t="n"/>
      <c r="E22" s="40" t="n"/>
      <c r="F22" s="40" t="n"/>
      <c r="G22" s="40" t="n"/>
      <c r="H22" s="40" t="n"/>
      <c r="I22" s="41" t="n"/>
      <c r="J22" s="44" t="n"/>
      <c r="K22" s="44" t="n"/>
      <c r="L22" s="40" t="n"/>
      <c r="M22" s="47" t="n"/>
      <c r="N22" s="45" t="n"/>
      <c r="O22" s="45" t="n"/>
      <c r="P22" s="45" t="n"/>
      <c r="Q22" s="45">
        <f>IFERROR(IF(maxifs('Production Log'!A:A,'Production Log'!B:B,A22)=0,"",maxifs('Production Log'!A:A,'Production Log'!B:B,A22)),"")</f>
        <v/>
      </c>
      <c r="R22" s="41" t="n"/>
      <c r="S22" s="45">
        <f>IF(E22="Completed","",IF(P22=0,"",P22))</f>
        <v/>
      </c>
      <c r="T22" s="46">
        <f>IF(S22="","",S22-TODAY())</f>
        <v/>
      </c>
      <c r="AC22">
        <f>IF(AND(A22&lt;&gt;"",E22&lt;&gt;"Completed"),COUNTIFS(A$13:A22,"&lt;&gt;",E$13:E22,"&lt;&gt;Completed"),"")</f>
        <v/>
      </c>
    </row>
    <row r="23" ht="15" customHeight="1" s="25">
      <c r="A23" s="40" t="n"/>
      <c r="B23" s="40" t="n"/>
      <c r="C23" s="41" t="n"/>
      <c r="D23" s="40" t="n"/>
      <c r="E23" s="40" t="n"/>
      <c r="F23" s="40" t="n"/>
      <c r="G23" s="40" t="n"/>
      <c r="H23" s="40" t="n"/>
      <c r="I23" s="41" t="n"/>
      <c r="J23" s="44" t="n"/>
      <c r="K23" s="44" t="n"/>
      <c r="L23" s="40" t="n"/>
      <c r="M23" s="47" t="n"/>
      <c r="N23" s="45" t="n"/>
      <c r="O23" s="45" t="n"/>
      <c r="P23" s="45" t="n"/>
      <c r="Q23" s="45">
        <f>IFERROR(IF(maxifs('Production Log'!A:A,'Production Log'!B:B,A23)=0,"",maxifs('Production Log'!A:A,'Production Log'!B:B,A23)),"")</f>
        <v/>
      </c>
      <c r="R23" s="41" t="n"/>
      <c r="S23" s="45">
        <f>IF(E23="Completed","",IF(P23=0,"",P23))</f>
        <v/>
      </c>
      <c r="T23" s="46">
        <f>IF(S23="","",S23-TODAY())</f>
        <v/>
      </c>
      <c r="AC23">
        <f>IF(AND(A23&lt;&gt;"",E23&lt;&gt;"Completed"),COUNTIFS(A$13:A23,"&lt;&gt;",E$13:E23,"&lt;&gt;Completed"),"")</f>
        <v/>
      </c>
    </row>
    <row r="24" ht="15" customHeight="1" s="25">
      <c r="A24" s="40" t="n"/>
      <c r="B24" s="40" t="n"/>
      <c r="C24" s="41" t="n"/>
      <c r="D24" s="40" t="n"/>
      <c r="E24" s="40" t="n"/>
      <c r="F24" s="40" t="n"/>
      <c r="G24" s="40" t="n"/>
      <c r="H24" s="40" t="n"/>
      <c r="I24" s="41" t="n"/>
      <c r="J24" s="44" t="n"/>
      <c r="K24" s="44" t="n"/>
      <c r="L24" s="40" t="n"/>
      <c r="M24" s="47" t="n"/>
      <c r="N24" s="45" t="n"/>
      <c r="O24" s="45" t="n"/>
      <c r="P24" s="45" t="n"/>
      <c r="Q24" s="45">
        <f>IFERROR(IF(maxifs('Production Log'!A:A,'Production Log'!B:B,A24)=0,"",maxifs('Production Log'!A:A,'Production Log'!B:B,A24)),"")</f>
        <v/>
      </c>
      <c r="R24" s="41" t="n"/>
      <c r="S24" s="45">
        <f>IF(E24="Completed","",IF(P24=0,"",P24))</f>
        <v/>
      </c>
      <c r="T24" s="46">
        <f>IF(S24="","",S24-TODAY())</f>
        <v/>
      </c>
      <c r="AC24">
        <f>IF(AND(A24&lt;&gt;"",E24&lt;&gt;"Completed"),COUNTIFS(A$13:A24,"&lt;&gt;",E$13:E24,"&lt;&gt;Completed"),"")</f>
        <v/>
      </c>
    </row>
    <row r="25" ht="15" customHeight="1" s="25">
      <c r="A25" s="40" t="n"/>
      <c r="B25" s="40" t="n"/>
      <c r="C25" s="41" t="n"/>
      <c r="D25" s="40" t="n"/>
      <c r="E25" s="40" t="n"/>
      <c r="F25" s="40" t="n"/>
      <c r="G25" s="40" t="n"/>
      <c r="H25" s="40" t="n"/>
      <c r="I25" s="41" t="n"/>
      <c r="J25" s="44" t="n"/>
      <c r="K25" s="44" t="n"/>
      <c r="L25" s="40" t="n"/>
      <c r="M25" s="47" t="n"/>
      <c r="N25" s="45" t="n"/>
      <c r="O25" s="45" t="n"/>
      <c r="P25" s="45" t="n"/>
      <c r="Q25" s="45">
        <f>IFERROR(IF(maxifs('Production Log'!A:A,'Production Log'!B:B,A25)=0,"",maxifs('Production Log'!A:A,'Production Log'!B:B,A25)),"")</f>
        <v/>
      </c>
      <c r="R25" s="41" t="n"/>
      <c r="S25" s="45">
        <f>IF(E25="Completed","",IF(P25=0,"",P25))</f>
        <v/>
      </c>
      <c r="T25" s="46">
        <f>IF(S25="","",S25-TODAY())</f>
        <v/>
      </c>
      <c r="AC25">
        <f>IF(AND(A25&lt;&gt;"",E25&lt;&gt;"Completed"),COUNTIFS(A$13:A25,"&lt;&gt;",E$13:E25,"&lt;&gt;Completed"),"")</f>
        <v/>
      </c>
    </row>
    <row r="26" ht="15" customHeight="1" s="25">
      <c r="A26" s="40" t="n"/>
      <c r="B26" s="40" t="n"/>
      <c r="C26" s="41" t="n"/>
      <c r="D26" s="40" t="n"/>
      <c r="E26" s="40" t="n"/>
      <c r="F26" s="40" t="n"/>
      <c r="G26" s="40" t="n"/>
      <c r="H26" s="40" t="n"/>
      <c r="I26" s="41" t="n"/>
      <c r="J26" s="44" t="n"/>
      <c r="K26" s="44" t="n"/>
      <c r="L26" s="40" t="n"/>
      <c r="M26" s="47" t="n"/>
      <c r="N26" s="45" t="n"/>
      <c r="O26" s="45" t="n"/>
      <c r="P26" s="45" t="n"/>
      <c r="Q26" s="45">
        <f>IFERROR(IF(maxifs('Production Log'!A:A,'Production Log'!B:B,A26)=0,"",maxifs('Production Log'!A:A,'Production Log'!B:B,A26)),"")</f>
        <v/>
      </c>
      <c r="R26" s="41" t="n"/>
      <c r="S26" s="45">
        <f>IF(E26="Completed","",IF(P26=0,"",P26))</f>
        <v/>
      </c>
      <c r="T26" s="46">
        <f>IF(S26="","",S26-TODAY())</f>
        <v/>
      </c>
      <c r="AC26">
        <f>IF(AND(A26&lt;&gt;"",E26&lt;&gt;"Completed"),COUNTIFS(A$13:A26,"&lt;&gt;",E$13:E26,"&lt;&gt;Completed"),"")</f>
        <v/>
      </c>
    </row>
    <row r="27" ht="15" customHeight="1" s="25">
      <c r="A27" s="40" t="n"/>
      <c r="B27" s="40" t="n"/>
      <c r="C27" s="41" t="n"/>
      <c r="D27" s="40" t="n"/>
      <c r="E27" s="40" t="n"/>
      <c r="F27" s="40" t="n"/>
      <c r="G27" s="40" t="n"/>
      <c r="H27" s="40" t="n"/>
      <c r="I27" s="41" t="n"/>
      <c r="J27" s="44" t="n"/>
      <c r="K27" s="44" t="n"/>
      <c r="L27" s="40" t="n"/>
      <c r="M27" s="47" t="n"/>
      <c r="N27" s="45" t="n"/>
      <c r="O27" s="45" t="n"/>
      <c r="P27" s="45" t="n"/>
      <c r="Q27" s="45">
        <f>IFERROR(IF(maxifs('Production Log'!A:A,'Production Log'!B:B,A27)=0,"",maxifs('Production Log'!A:A,'Production Log'!B:B,A27)),"")</f>
        <v/>
      </c>
      <c r="R27" s="41" t="n"/>
      <c r="S27" s="45">
        <f>IF(E27="Completed","",IF(P27=0,"",P27))</f>
        <v/>
      </c>
      <c r="T27" s="46">
        <f>IF(S27="","",S27-TODAY())</f>
        <v/>
      </c>
      <c r="AC27">
        <f>IF(AND(A27&lt;&gt;"",E27&lt;&gt;"Completed"),COUNTIFS(A$13:A27,"&lt;&gt;",E$13:E27,"&lt;&gt;Completed"),"")</f>
        <v/>
      </c>
    </row>
    <row r="28" ht="15" customHeight="1" s="25">
      <c r="A28" s="40" t="n"/>
      <c r="B28" s="40" t="n"/>
      <c r="C28" s="41" t="n"/>
      <c r="D28" s="40" t="n"/>
      <c r="E28" s="40" t="n"/>
      <c r="F28" s="40" t="n"/>
      <c r="G28" s="40" t="n"/>
      <c r="H28" s="40" t="n"/>
      <c r="I28" s="41" t="n"/>
      <c r="J28" s="44" t="n"/>
      <c r="K28" s="44" t="n"/>
      <c r="L28" s="40" t="n"/>
      <c r="M28" s="47" t="n"/>
      <c r="N28" s="45" t="n"/>
      <c r="O28" s="45" t="n"/>
      <c r="P28" s="45" t="n"/>
      <c r="Q28" s="45">
        <f>IFERROR(IF(maxifs('Production Log'!A:A,'Production Log'!B:B,A28)=0,"",maxifs('Production Log'!A:A,'Production Log'!B:B,A28)),"")</f>
        <v/>
      </c>
      <c r="R28" s="41" t="n"/>
      <c r="S28" s="45">
        <f>IF(E28="Completed","",IF(P28=0,"",P28))</f>
        <v/>
      </c>
      <c r="T28" s="46">
        <f>IF(S28="","",S28-TODAY())</f>
        <v/>
      </c>
      <c r="AC28">
        <f>IF(AND(A28&lt;&gt;"",E28&lt;&gt;"Completed"),COUNTIFS(A$13:A28,"&lt;&gt;",E$13:E28,"&lt;&gt;Completed"),"")</f>
        <v/>
      </c>
    </row>
    <row r="29" ht="15" customHeight="1" s="25">
      <c r="A29" s="40" t="n"/>
      <c r="B29" s="40" t="n"/>
      <c r="C29" s="41" t="n"/>
      <c r="D29" s="40" t="n"/>
      <c r="E29" s="40" t="n"/>
      <c r="F29" s="40" t="n"/>
      <c r="G29" s="40" t="n"/>
      <c r="H29" s="40" t="n"/>
      <c r="I29" s="41" t="n"/>
      <c r="J29" s="44" t="n"/>
      <c r="K29" s="44" t="n"/>
      <c r="L29" s="40" t="n"/>
      <c r="M29" s="47" t="n"/>
      <c r="N29" s="45" t="n"/>
      <c r="O29" s="45" t="n"/>
      <c r="P29" s="45" t="n"/>
      <c r="Q29" s="45">
        <f>IFERROR(IF(maxifs('Production Log'!A:A,'Production Log'!B:B,A29)=0,"",maxifs('Production Log'!A:A,'Production Log'!B:B,A29)),"")</f>
        <v/>
      </c>
      <c r="R29" s="41" t="n"/>
      <c r="S29" s="45">
        <f>IF(E29="Completed","",IF(P29=0,"",P29))</f>
        <v/>
      </c>
      <c r="T29" s="46">
        <f>IF(S29="","",S29-TODAY())</f>
        <v/>
      </c>
      <c r="AC29">
        <f>IF(AND(A29&lt;&gt;"",E29&lt;&gt;"Completed"),COUNTIFS(A$13:A29,"&lt;&gt;",E$13:E29,"&lt;&gt;Completed"),"")</f>
        <v/>
      </c>
    </row>
    <row r="30" ht="15" customHeight="1" s="25">
      <c r="A30" s="40" t="n"/>
      <c r="B30" s="40" t="n"/>
      <c r="C30" s="41" t="n"/>
      <c r="D30" s="40" t="n"/>
      <c r="E30" s="40" t="n"/>
      <c r="F30" s="40" t="n"/>
      <c r="G30" s="40" t="n"/>
      <c r="H30" s="40" t="n"/>
      <c r="I30" s="41" t="n"/>
      <c r="J30" s="44" t="n"/>
      <c r="K30" s="44" t="n"/>
      <c r="L30" s="40" t="n"/>
      <c r="M30" s="47" t="n"/>
      <c r="N30" s="45" t="n"/>
      <c r="O30" s="45" t="n"/>
      <c r="P30" s="45" t="n"/>
      <c r="Q30" s="45">
        <f>IFERROR(IF(maxifs('Production Log'!A:A,'Production Log'!B:B,A30)=0,"",maxifs('Production Log'!A:A,'Production Log'!B:B,A30)),"")</f>
        <v/>
      </c>
      <c r="R30" s="41" t="n"/>
      <c r="S30" s="45">
        <f>IF(E30="Completed","",IF(P30=0,"",P30))</f>
        <v/>
      </c>
      <c r="T30" s="46">
        <f>IF(S30="","",S30-TODAY())</f>
        <v/>
      </c>
      <c r="AC30">
        <f>IF(AND(A30&lt;&gt;"",E30&lt;&gt;"Completed"),COUNTIFS(A$13:A30,"&lt;&gt;",E$13:E30,"&lt;&gt;Completed"),"")</f>
        <v/>
      </c>
    </row>
    <row r="31" ht="15" customHeight="1" s="25">
      <c r="A31" s="40" t="n"/>
      <c r="B31" s="40" t="n"/>
      <c r="C31" s="41" t="n"/>
      <c r="D31" s="40" t="n"/>
      <c r="E31" s="40" t="n"/>
      <c r="F31" s="40" t="n"/>
      <c r="G31" s="40" t="n"/>
      <c r="H31" s="40" t="n"/>
      <c r="I31" s="41" t="n"/>
      <c r="J31" s="44" t="n"/>
      <c r="K31" s="44" t="n"/>
      <c r="L31" s="40" t="n"/>
      <c r="M31" s="47" t="n"/>
      <c r="N31" s="45" t="n"/>
      <c r="O31" s="45" t="n"/>
      <c r="P31" s="45" t="n"/>
      <c r="Q31" s="45">
        <f>IFERROR(IF(maxifs('Production Log'!A:A,'Production Log'!B:B,A31)=0,"",maxifs('Production Log'!A:A,'Production Log'!B:B,A31)),"")</f>
        <v/>
      </c>
      <c r="R31" s="41" t="n"/>
      <c r="S31" s="45">
        <f>IF(E31="Completed","",IF(P31=0,"",P31))</f>
        <v/>
      </c>
      <c r="T31" s="46">
        <f>IF(S31="","",S31-TODAY())</f>
        <v/>
      </c>
      <c r="AC31">
        <f>IF(AND(A31&lt;&gt;"",E31&lt;&gt;"Completed"),COUNTIFS(A$13:A31,"&lt;&gt;",E$13:E31,"&lt;&gt;Completed"),"")</f>
        <v/>
      </c>
    </row>
    <row r="32" ht="15" customHeight="1" s="25">
      <c r="A32" s="40" t="n"/>
      <c r="B32" s="40" t="n"/>
      <c r="C32" s="41" t="n"/>
      <c r="D32" s="40" t="n"/>
      <c r="E32" s="40" t="n"/>
      <c r="F32" s="40" t="n"/>
      <c r="G32" s="40" t="n"/>
      <c r="H32" s="40" t="n"/>
      <c r="I32" s="41" t="n"/>
      <c r="J32" s="44" t="n"/>
      <c r="K32" s="44" t="n"/>
      <c r="L32" s="40" t="n"/>
      <c r="M32" s="47" t="n"/>
      <c r="N32" s="45" t="n"/>
      <c r="O32" s="45" t="n"/>
      <c r="P32" s="45" t="n"/>
      <c r="Q32" s="45">
        <f>IFERROR(IF(maxifs('Production Log'!A:A,'Production Log'!B:B,A32)=0,"",maxifs('Production Log'!A:A,'Production Log'!B:B,A32)),"")</f>
        <v/>
      </c>
      <c r="R32" s="41" t="n"/>
      <c r="S32" s="45">
        <f>IF(E32="Completed","",IF(P32=0,"",P32))</f>
        <v/>
      </c>
      <c r="T32" s="46">
        <f>IF(S32="","",S32-TODAY())</f>
        <v/>
      </c>
      <c r="AC32">
        <f>IF(AND(A32&lt;&gt;"",E32&lt;&gt;"Completed"),COUNTIFS(A$13:A32,"&lt;&gt;",E$13:E32,"&lt;&gt;Completed"),"")</f>
        <v/>
      </c>
    </row>
    <row r="33" ht="15" customHeight="1" s="25">
      <c r="A33" s="40" t="n"/>
      <c r="B33" s="40" t="n"/>
      <c r="C33" s="41" t="n"/>
      <c r="D33" s="40" t="n"/>
      <c r="E33" s="40" t="n"/>
      <c r="F33" s="40" t="n"/>
      <c r="G33" s="40" t="n"/>
      <c r="H33" s="40" t="n"/>
      <c r="I33" s="41" t="n"/>
      <c r="J33" s="44" t="n"/>
      <c r="K33" s="44" t="n"/>
      <c r="L33" s="40" t="n"/>
      <c r="M33" s="47" t="n"/>
      <c r="N33" s="45" t="n"/>
      <c r="O33" s="45" t="n"/>
      <c r="P33" s="45" t="n"/>
      <c r="Q33" s="45">
        <f>IFERROR(IF(maxifs('Production Log'!A:A,'Production Log'!B:B,A33)=0,"",maxifs('Production Log'!A:A,'Production Log'!B:B,A33)),"")</f>
        <v/>
      </c>
      <c r="R33" s="41" t="n"/>
      <c r="S33" s="45">
        <f>IF(E33="Completed","",IF(P33=0,"",P33))</f>
        <v/>
      </c>
      <c r="T33" s="46">
        <f>IF(S33="","",S33-TODAY())</f>
        <v/>
      </c>
      <c r="AC33">
        <f>IF(AND(A33&lt;&gt;"",E33&lt;&gt;"Completed"),COUNTIFS(A$13:A33,"&lt;&gt;",E$13:E33,"&lt;&gt;Completed"),"")</f>
        <v/>
      </c>
    </row>
    <row r="34" ht="15" customHeight="1" s="25">
      <c r="A34" s="40" t="n"/>
      <c r="B34" s="40" t="n"/>
      <c r="C34" s="41" t="n"/>
      <c r="D34" s="40" t="n"/>
      <c r="E34" s="40" t="n"/>
      <c r="F34" s="40" t="n"/>
      <c r="G34" s="40" t="n"/>
      <c r="H34" s="40" t="n"/>
      <c r="I34" s="41" t="n"/>
      <c r="J34" s="44" t="n"/>
      <c r="K34" s="44" t="n"/>
      <c r="L34" s="40" t="n"/>
      <c r="M34" s="47" t="n"/>
      <c r="N34" s="45" t="n"/>
      <c r="O34" s="45" t="n"/>
      <c r="P34" s="45" t="n"/>
      <c r="Q34" s="45">
        <f>IFERROR(IF(maxifs('Production Log'!A:A,'Production Log'!B:B,A34)=0,"",maxifs('Production Log'!A:A,'Production Log'!B:B,A34)),"")</f>
        <v/>
      </c>
      <c r="R34" s="41" t="n"/>
      <c r="S34" s="45">
        <f>IF(E34="Completed","",IF(P34=0,"",P34))</f>
        <v/>
      </c>
      <c r="T34" s="46">
        <f>IF(S34="","",S34-TODAY())</f>
        <v/>
      </c>
      <c r="AC34">
        <f>IF(AND(A34&lt;&gt;"",E34&lt;&gt;"Completed"),COUNTIFS(A$13:A34,"&lt;&gt;",E$13:E34,"&lt;&gt;Completed"),"")</f>
        <v/>
      </c>
    </row>
    <row r="35" ht="15" customHeight="1" s="25">
      <c r="A35" s="40" t="n"/>
      <c r="B35" s="40" t="n"/>
      <c r="C35" s="41" t="n"/>
      <c r="D35" s="40" t="n"/>
      <c r="E35" s="40" t="n"/>
      <c r="F35" s="40" t="n"/>
      <c r="G35" s="40" t="n"/>
      <c r="H35" s="40" t="n"/>
      <c r="I35" s="41" t="n"/>
      <c r="J35" s="44" t="n"/>
      <c r="K35" s="44" t="n"/>
      <c r="L35" s="40" t="n"/>
      <c r="M35" s="47" t="n"/>
      <c r="N35" s="45" t="n"/>
      <c r="O35" s="45" t="n"/>
      <c r="P35" s="45" t="n"/>
      <c r="Q35" s="45">
        <f>IFERROR(IF(maxifs('Production Log'!A:A,'Production Log'!B:B,A35)=0,"",maxifs('Production Log'!A:A,'Production Log'!B:B,A35)),"")</f>
        <v/>
      </c>
      <c r="R35" s="41" t="n"/>
      <c r="S35" s="45">
        <f>IF(E35="Completed","",IF(P35=0,"",P35))</f>
        <v/>
      </c>
      <c r="T35" s="46">
        <f>IF(S35="","",S35-TODAY())</f>
        <v/>
      </c>
      <c r="AC35">
        <f>IF(AND(A35&lt;&gt;"",E35&lt;&gt;"Completed"),COUNTIFS(A$13:A35,"&lt;&gt;",E$13:E35,"&lt;&gt;Completed"),"")</f>
        <v/>
      </c>
    </row>
    <row r="36" ht="15" customHeight="1" s="25">
      <c r="A36" s="40" t="n"/>
      <c r="B36" s="40" t="n"/>
      <c r="C36" s="41" t="n"/>
      <c r="D36" s="40" t="n"/>
      <c r="E36" s="40" t="n"/>
      <c r="F36" s="40" t="n"/>
      <c r="G36" s="40" t="n"/>
      <c r="H36" s="40" t="n"/>
      <c r="I36" s="41" t="n"/>
      <c r="J36" s="44" t="n"/>
      <c r="K36" s="44" t="n"/>
      <c r="L36" s="40" t="n"/>
      <c r="M36" s="47" t="n"/>
      <c r="N36" s="45" t="n"/>
      <c r="O36" s="45" t="n"/>
      <c r="P36" s="45" t="n"/>
      <c r="Q36" s="45">
        <f>IFERROR(IF(maxifs('Production Log'!A:A,'Production Log'!B:B,A36)=0,"",maxifs('Production Log'!A:A,'Production Log'!B:B,A36)),"")</f>
        <v/>
      </c>
      <c r="R36" s="41" t="n"/>
      <c r="S36" s="45">
        <f>IF(E36="Completed","",IF(P36=0,"",P36))</f>
        <v/>
      </c>
      <c r="T36" s="46">
        <f>IF(S36="","",S36-TODAY())</f>
        <v/>
      </c>
      <c r="AC36">
        <f>IF(AND(A36&lt;&gt;"",E36&lt;&gt;"Completed"),COUNTIFS(A$13:A36,"&lt;&gt;",E$13:E36,"&lt;&gt;Completed"),"")</f>
        <v/>
      </c>
    </row>
    <row r="37" ht="15" customHeight="1" s="25">
      <c r="A37" s="40" t="n"/>
      <c r="B37" s="40" t="n"/>
      <c r="C37" s="41" t="n"/>
      <c r="D37" s="40" t="n"/>
      <c r="E37" s="40" t="n"/>
      <c r="F37" s="40" t="n"/>
      <c r="G37" s="40" t="n"/>
      <c r="H37" s="40" t="n"/>
      <c r="I37" s="41" t="n"/>
      <c r="J37" s="44" t="n"/>
      <c r="K37" s="44" t="n"/>
      <c r="L37" s="40" t="n"/>
      <c r="M37" s="47" t="n"/>
      <c r="N37" s="45" t="n"/>
      <c r="O37" s="45" t="n"/>
      <c r="P37" s="45" t="n"/>
      <c r="Q37" s="45">
        <f>IFERROR(IF(maxifs('Production Log'!A:A,'Production Log'!B:B,A37)=0,"",maxifs('Production Log'!A:A,'Production Log'!B:B,A37)),"")</f>
        <v/>
      </c>
      <c r="R37" s="41" t="n"/>
      <c r="S37" s="45">
        <f>IF(E37="Completed","",IF(P37=0,"",P37))</f>
        <v/>
      </c>
      <c r="T37" s="46">
        <f>IF(S37="","",S37-TODAY())</f>
        <v/>
      </c>
      <c r="AC37">
        <f>IF(AND(A37&lt;&gt;"",E37&lt;&gt;"Completed"),COUNTIFS(A$13:A37,"&lt;&gt;",E$13:E37,"&lt;&gt;Completed"),"")</f>
        <v/>
      </c>
    </row>
    <row r="38" ht="15" customHeight="1" s="25">
      <c r="A38" s="40" t="n"/>
      <c r="B38" s="40" t="n"/>
      <c r="C38" s="41" t="n"/>
      <c r="D38" s="40" t="n"/>
      <c r="E38" s="40" t="n"/>
      <c r="F38" s="40" t="n"/>
      <c r="G38" s="40" t="n"/>
      <c r="H38" s="40" t="n"/>
      <c r="I38" s="41" t="n"/>
      <c r="J38" s="44" t="n"/>
      <c r="K38" s="44" t="n"/>
      <c r="L38" s="40" t="n"/>
      <c r="M38" s="47" t="n"/>
      <c r="N38" s="45" t="n"/>
      <c r="O38" s="45" t="n"/>
      <c r="P38" s="45" t="n"/>
      <c r="Q38" s="45">
        <f>IFERROR(IF(maxifs('Production Log'!A:A,'Production Log'!B:B,A38)=0,"",maxifs('Production Log'!A:A,'Production Log'!B:B,A38)),"")</f>
        <v/>
      </c>
      <c r="R38" s="41" t="n"/>
      <c r="S38" s="45">
        <f>IF(E38="Completed","",IF(P38=0,"",P38))</f>
        <v/>
      </c>
      <c r="T38" s="46">
        <f>IF(S38="","",S38-TODAY())</f>
        <v/>
      </c>
      <c r="AC38">
        <f>IF(AND(A38&lt;&gt;"",E38&lt;&gt;"Completed"),COUNTIFS(A$13:A38,"&lt;&gt;",E$13:E38,"&lt;&gt;Completed"),"")</f>
        <v/>
      </c>
    </row>
    <row r="39" ht="15" customHeight="1" s="25">
      <c r="A39" s="40" t="n"/>
      <c r="B39" s="40" t="n"/>
      <c r="C39" s="41" t="n"/>
      <c r="D39" s="40" t="n"/>
      <c r="E39" s="40" t="n"/>
      <c r="F39" s="40" t="n"/>
      <c r="G39" s="40" t="n"/>
      <c r="H39" s="40" t="n"/>
      <c r="I39" s="41" t="n"/>
      <c r="J39" s="44" t="n"/>
      <c r="K39" s="44" t="n"/>
      <c r="L39" s="40" t="n"/>
      <c r="M39" s="47" t="n"/>
      <c r="N39" s="45" t="n"/>
      <c r="O39" s="45" t="n"/>
      <c r="P39" s="45" t="n"/>
      <c r="Q39" s="45">
        <f>IFERROR(IF(maxifs('Production Log'!A:A,'Production Log'!B:B,A39)=0,"",maxifs('Production Log'!A:A,'Production Log'!B:B,A39)),"")</f>
        <v/>
      </c>
      <c r="R39" s="41" t="n"/>
      <c r="S39" s="45">
        <f>IF(E39="Completed","",IF(P39=0,"",P39))</f>
        <v/>
      </c>
      <c r="T39" s="46">
        <f>IF(S39="","",S39-TODAY())</f>
        <v/>
      </c>
      <c r="AC39">
        <f>IF(AND(A39&lt;&gt;"",E39&lt;&gt;"Completed"),COUNTIFS(A$13:A39,"&lt;&gt;",E$13:E39,"&lt;&gt;Completed"),"")</f>
        <v/>
      </c>
    </row>
    <row r="40" ht="15" customHeight="1" s="25">
      <c r="A40" s="40" t="n"/>
      <c r="B40" s="40" t="n"/>
      <c r="C40" s="41" t="n"/>
      <c r="D40" s="40" t="n"/>
      <c r="E40" s="40" t="n"/>
      <c r="F40" s="40" t="n"/>
      <c r="G40" s="40" t="n"/>
      <c r="H40" s="40" t="n"/>
      <c r="I40" s="41" t="n"/>
      <c r="J40" s="44" t="n"/>
      <c r="K40" s="44" t="n"/>
      <c r="L40" s="40" t="n"/>
      <c r="M40" s="47" t="n"/>
      <c r="N40" s="45" t="n"/>
      <c r="O40" s="45" t="n"/>
      <c r="P40" s="45" t="n"/>
      <c r="Q40" s="45">
        <f>IFERROR(IF(maxifs('Production Log'!A:A,'Production Log'!B:B,A40)=0,"",maxifs('Production Log'!A:A,'Production Log'!B:B,A40)),"")</f>
        <v/>
      </c>
      <c r="R40" s="41" t="n"/>
      <c r="S40" s="45">
        <f>IF(E40="Completed","",IF(P40=0,"",P40))</f>
        <v/>
      </c>
      <c r="T40" s="46">
        <f>IF(S40="","",S40-TODAY())</f>
        <v/>
      </c>
      <c r="AC40">
        <f>IF(AND(A40&lt;&gt;"",E40&lt;&gt;"Completed"),COUNTIFS(A$13:A40,"&lt;&gt;",E$13:E40,"&lt;&gt;Completed"),"")</f>
        <v/>
      </c>
    </row>
    <row r="41" ht="15" customHeight="1" s="25">
      <c r="A41" s="40" t="n"/>
      <c r="B41" s="40" t="n"/>
      <c r="C41" s="41" t="n"/>
      <c r="D41" s="40" t="n"/>
      <c r="E41" s="40" t="n"/>
      <c r="F41" s="40" t="n"/>
      <c r="G41" s="40" t="n"/>
      <c r="H41" s="40" t="n"/>
      <c r="I41" s="41" t="n"/>
      <c r="J41" s="44" t="n"/>
      <c r="K41" s="44" t="n"/>
      <c r="L41" s="40" t="n"/>
      <c r="M41" s="47" t="n"/>
      <c r="N41" s="45" t="n"/>
      <c r="O41" s="45" t="n"/>
      <c r="P41" s="45" t="n"/>
      <c r="Q41" s="45">
        <f>IFERROR(IF(maxifs('Production Log'!A:A,'Production Log'!B:B,A41)=0,"",maxifs('Production Log'!A:A,'Production Log'!B:B,A41)),"")</f>
        <v/>
      </c>
      <c r="R41" s="41" t="n"/>
      <c r="S41" s="45">
        <f>IF(E41="Completed","",IF(P41=0,"",P41))</f>
        <v/>
      </c>
      <c r="T41" s="46">
        <f>IF(S41="","",S41-TODAY())</f>
        <v/>
      </c>
      <c r="AC41">
        <f>IF(AND(A41&lt;&gt;"",E41&lt;&gt;"Completed"),COUNTIFS(A$13:A41,"&lt;&gt;",E$13:E41,"&lt;&gt;Completed"),"")</f>
        <v/>
      </c>
    </row>
    <row r="42" ht="15" customHeight="1" s="25">
      <c r="A42" s="40" t="n"/>
      <c r="B42" s="40" t="n"/>
      <c r="C42" s="41" t="n"/>
      <c r="D42" s="40" t="n"/>
      <c r="E42" s="40" t="n"/>
      <c r="F42" s="40" t="n"/>
      <c r="G42" s="40" t="n"/>
      <c r="H42" s="40" t="n"/>
      <c r="I42" s="41" t="n"/>
      <c r="J42" s="44" t="n"/>
      <c r="K42" s="44" t="n"/>
      <c r="L42" s="40" t="n"/>
      <c r="M42" s="47" t="n"/>
      <c r="N42" s="45" t="n"/>
      <c r="O42" s="45" t="n"/>
      <c r="P42" s="45" t="n"/>
      <c r="Q42" s="45">
        <f>IFERROR(IF(maxifs('Production Log'!A:A,'Production Log'!B:B,A42)=0,"",maxifs('Production Log'!A:A,'Production Log'!B:B,A42)),"")</f>
        <v/>
      </c>
      <c r="R42" s="41" t="n"/>
      <c r="S42" s="45">
        <f>IF(E42="Completed","",IF(P42=0,"",P42))</f>
        <v/>
      </c>
      <c r="T42" s="46">
        <f>IF(S42="","",S42-TODAY())</f>
        <v/>
      </c>
      <c r="AC42">
        <f>IF(AND(A42&lt;&gt;"",E42&lt;&gt;"Completed"),COUNTIFS(A$13:A42,"&lt;&gt;",E$13:E42,"&lt;&gt;Completed"),"")</f>
        <v/>
      </c>
    </row>
    <row r="43" ht="15" customHeight="1" s="25">
      <c r="A43" s="40" t="n"/>
      <c r="B43" s="40" t="n"/>
      <c r="C43" s="41" t="n"/>
      <c r="D43" s="40" t="n"/>
      <c r="E43" s="40" t="n"/>
      <c r="F43" s="40" t="n"/>
      <c r="G43" s="40" t="n"/>
      <c r="H43" s="40" t="n"/>
      <c r="I43" s="41" t="n"/>
      <c r="J43" s="44" t="n"/>
      <c r="K43" s="44" t="n"/>
      <c r="L43" s="40" t="n"/>
      <c r="M43" s="47" t="n"/>
      <c r="N43" s="45" t="n"/>
      <c r="O43" s="45" t="n"/>
      <c r="P43" s="45" t="n"/>
      <c r="Q43" s="45">
        <f>IFERROR(IF(maxifs('Production Log'!A:A,'Production Log'!B:B,A43)=0,"",maxifs('Production Log'!A:A,'Production Log'!B:B,A43)),"")</f>
        <v/>
      </c>
      <c r="R43" s="41" t="n"/>
      <c r="S43" s="45">
        <f>IF(E43="Completed","",IF(P43=0,"",P43))</f>
        <v/>
      </c>
      <c r="T43" s="46">
        <f>IF(S43="","",S43-TODAY())</f>
        <v/>
      </c>
      <c r="AC43">
        <f>IF(AND(A43&lt;&gt;"",E43&lt;&gt;"Completed"),COUNTIFS(A$13:A43,"&lt;&gt;",E$13:E43,"&lt;&gt;Completed"),"")</f>
        <v/>
      </c>
    </row>
    <row r="44" ht="15" customHeight="1" s="25">
      <c r="A44" s="40" t="n"/>
      <c r="B44" s="40" t="n"/>
      <c r="C44" s="41" t="n"/>
      <c r="D44" s="40" t="n"/>
      <c r="E44" s="40" t="n"/>
      <c r="F44" s="40" t="n"/>
      <c r="G44" s="40" t="n"/>
      <c r="H44" s="40" t="n"/>
      <c r="I44" s="41" t="n"/>
      <c r="J44" s="44" t="n"/>
      <c r="K44" s="44" t="n"/>
      <c r="L44" s="40" t="n"/>
      <c r="M44" s="47" t="n"/>
      <c r="N44" s="45" t="n"/>
      <c r="O44" s="45" t="n"/>
      <c r="P44" s="45" t="n"/>
      <c r="Q44" s="45">
        <f>IFERROR(IF(maxifs('Production Log'!A:A,'Production Log'!B:B,A44)=0,"",maxifs('Production Log'!A:A,'Production Log'!B:B,A44)),"")</f>
        <v/>
      </c>
      <c r="R44" s="41" t="n"/>
      <c r="S44" s="45">
        <f>IF(E44="Completed","",IF(P44=0,"",P44))</f>
        <v/>
      </c>
      <c r="T44" s="46">
        <f>IF(S44="","",S44-TODAY())</f>
        <v/>
      </c>
      <c r="AC44">
        <f>IF(AND(A44&lt;&gt;"",E44&lt;&gt;"Completed"),COUNTIFS(A$13:A44,"&lt;&gt;",E$13:E44,"&lt;&gt;Completed"),"")</f>
        <v/>
      </c>
    </row>
    <row r="45" ht="15" customHeight="1" s="25">
      <c r="A45" s="40" t="n"/>
      <c r="B45" s="40" t="n"/>
      <c r="C45" s="41" t="n"/>
      <c r="D45" s="40" t="n"/>
      <c r="E45" s="40" t="n"/>
      <c r="F45" s="40" t="n"/>
      <c r="G45" s="40" t="n"/>
      <c r="H45" s="40" t="n"/>
      <c r="I45" s="41" t="n"/>
      <c r="J45" s="44" t="n"/>
      <c r="K45" s="44" t="n"/>
      <c r="L45" s="40" t="n"/>
      <c r="M45" s="47" t="n"/>
      <c r="N45" s="45" t="n"/>
      <c r="O45" s="45" t="n"/>
      <c r="P45" s="45" t="n"/>
      <c r="Q45" s="45">
        <f>IFERROR(IF(maxifs('Production Log'!A:A,'Production Log'!B:B,A45)=0,"",maxifs('Production Log'!A:A,'Production Log'!B:B,A45)),"")</f>
        <v/>
      </c>
      <c r="R45" s="41" t="n"/>
      <c r="S45" s="45">
        <f>IF(E45="Completed","",IF(P45=0,"",P45))</f>
        <v/>
      </c>
      <c r="T45" s="46">
        <f>IF(S45="","",S45-TODAY())</f>
        <v/>
      </c>
      <c r="AC45">
        <f>IF(AND(A45&lt;&gt;"",E45&lt;&gt;"Completed"),COUNTIFS(A$13:A45,"&lt;&gt;",E$13:E45,"&lt;&gt;Completed"),"")</f>
        <v/>
      </c>
    </row>
    <row r="46" ht="15" customHeight="1" s="25">
      <c r="A46" s="40" t="n"/>
      <c r="B46" s="40" t="n"/>
      <c r="C46" s="41" t="n"/>
      <c r="D46" s="40" t="n"/>
      <c r="E46" s="40" t="n"/>
      <c r="F46" s="40" t="n"/>
      <c r="G46" s="40" t="n"/>
      <c r="H46" s="40" t="n"/>
      <c r="I46" s="41" t="n"/>
      <c r="J46" s="44" t="n"/>
      <c r="K46" s="44" t="n"/>
      <c r="L46" s="40" t="n"/>
      <c r="M46" s="47" t="n"/>
      <c r="N46" s="45" t="n"/>
      <c r="O46" s="45" t="n"/>
      <c r="P46" s="45" t="n"/>
      <c r="Q46" s="45">
        <f>IFERROR(IF(maxifs('Production Log'!A:A,'Production Log'!B:B,A46)=0,"",maxifs('Production Log'!A:A,'Production Log'!B:B,A46)),"")</f>
        <v/>
      </c>
      <c r="R46" s="41" t="n"/>
      <c r="S46" s="45">
        <f>IF(E46="Completed","",IF(P46=0,"",P46))</f>
        <v/>
      </c>
      <c r="T46" s="46">
        <f>IF(S46="","",S46-TODAY())</f>
        <v/>
      </c>
      <c r="AC46">
        <f>IF(AND(A46&lt;&gt;"",E46&lt;&gt;"Completed"),COUNTIFS(A$13:A46,"&lt;&gt;",E$13:E46,"&lt;&gt;Completed"),"")</f>
        <v/>
      </c>
    </row>
    <row r="47" ht="15" customHeight="1" s="25">
      <c r="A47" s="40" t="n"/>
      <c r="B47" s="40" t="n"/>
      <c r="C47" s="41" t="n"/>
      <c r="D47" s="40" t="n"/>
      <c r="E47" s="40" t="n"/>
      <c r="F47" s="40" t="n"/>
      <c r="G47" s="40" t="n"/>
      <c r="H47" s="40" t="n"/>
      <c r="I47" s="41" t="n"/>
      <c r="J47" s="44" t="n"/>
      <c r="K47" s="44" t="n"/>
      <c r="L47" s="40" t="n"/>
      <c r="M47" s="47" t="n"/>
      <c r="N47" s="45" t="n"/>
      <c r="O47" s="45" t="n"/>
      <c r="P47" s="45" t="n"/>
      <c r="Q47" s="45">
        <f>IFERROR(IF(maxifs('Production Log'!A:A,'Production Log'!B:B,A47)=0,"",maxifs('Production Log'!A:A,'Production Log'!B:B,A47)),"")</f>
        <v/>
      </c>
      <c r="R47" s="41" t="n"/>
      <c r="S47" s="45">
        <f>IF(E47="Completed","",IF(P47=0,"",P47))</f>
        <v/>
      </c>
      <c r="T47" s="46">
        <f>IF(S47="","",S47-TODAY())</f>
        <v/>
      </c>
      <c r="AC47">
        <f>IF(AND(A47&lt;&gt;"",E47&lt;&gt;"Completed"),COUNTIFS(A$13:A47,"&lt;&gt;",E$13:E47,"&lt;&gt;Completed"),"")</f>
        <v/>
      </c>
    </row>
    <row r="48" ht="15" customHeight="1" s="25">
      <c r="A48" s="40" t="n"/>
      <c r="B48" s="40" t="n"/>
      <c r="C48" s="41" t="n"/>
      <c r="D48" s="40" t="n"/>
      <c r="E48" s="40" t="n"/>
      <c r="F48" s="40" t="n"/>
      <c r="G48" s="40" t="n"/>
      <c r="H48" s="40" t="n"/>
      <c r="I48" s="41" t="n"/>
      <c r="J48" s="44" t="n"/>
      <c r="K48" s="44" t="n"/>
      <c r="L48" s="40" t="n"/>
      <c r="M48" s="47" t="n"/>
      <c r="N48" s="45" t="n"/>
      <c r="O48" s="45" t="n"/>
      <c r="P48" s="45" t="n"/>
      <c r="Q48" s="45">
        <f>IFERROR(IF(maxifs('Production Log'!A:A,'Production Log'!B:B,A48)=0,"",maxifs('Production Log'!A:A,'Production Log'!B:B,A48)),"")</f>
        <v/>
      </c>
      <c r="R48" s="41" t="n"/>
      <c r="S48" s="45">
        <f>IF(E48="Completed","",IF(P48=0,"",P48))</f>
        <v/>
      </c>
      <c r="T48" s="46">
        <f>IF(S48="","",S48-TODAY())</f>
        <v/>
      </c>
      <c r="AC48">
        <f>IF(AND(A48&lt;&gt;"",E48&lt;&gt;"Completed"),COUNTIFS(A$13:A48,"&lt;&gt;",E$13:E48,"&lt;&gt;Completed"),"")</f>
        <v/>
      </c>
    </row>
    <row r="49" ht="15" customHeight="1" s="25">
      <c r="A49" s="40" t="n"/>
      <c r="B49" s="40" t="n"/>
      <c r="C49" s="41" t="n"/>
      <c r="D49" s="40" t="n"/>
      <c r="E49" s="40" t="n"/>
      <c r="F49" s="40" t="n"/>
      <c r="G49" s="40" t="n"/>
      <c r="H49" s="40" t="n"/>
      <c r="I49" s="41" t="n"/>
      <c r="J49" s="44" t="n"/>
      <c r="K49" s="44" t="n"/>
      <c r="L49" s="40" t="n"/>
      <c r="M49" s="47" t="n"/>
      <c r="N49" s="45" t="n"/>
      <c r="O49" s="45" t="n"/>
      <c r="P49" s="45" t="n"/>
      <c r="Q49" s="45">
        <f>IFERROR(IF(maxifs('Production Log'!A:A,'Production Log'!B:B,A49)=0,"",maxifs('Production Log'!A:A,'Production Log'!B:B,A49)),"")</f>
        <v/>
      </c>
      <c r="R49" s="41" t="n"/>
      <c r="S49" s="45">
        <f>IF(E49="Completed","",IF(P49=0,"",P49))</f>
        <v/>
      </c>
      <c r="T49" s="46">
        <f>IF(S49="","",S49-TODAY())</f>
        <v/>
      </c>
      <c r="AC49">
        <f>IF(AND(A49&lt;&gt;"",E49&lt;&gt;"Completed"),COUNTIFS(A$13:A49,"&lt;&gt;",E$13:E49,"&lt;&gt;Completed"),"")</f>
        <v/>
      </c>
    </row>
    <row r="50" ht="15" customHeight="1" s="25">
      <c r="A50" s="40" t="n"/>
      <c r="B50" s="40" t="n"/>
      <c r="C50" s="41" t="n"/>
      <c r="D50" s="40" t="n"/>
      <c r="E50" s="40" t="n"/>
      <c r="F50" s="40" t="n"/>
      <c r="G50" s="40" t="n"/>
      <c r="H50" s="40" t="n"/>
      <c r="I50" s="41" t="n"/>
      <c r="J50" s="44" t="n"/>
      <c r="K50" s="44" t="n"/>
      <c r="L50" s="40" t="n"/>
      <c r="M50" s="47" t="n"/>
      <c r="N50" s="45" t="n"/>
      <c r="O50" s="45" t="n"/>
      <c r="P50" s="45" t="n"/>
      <c r="Q50" s="45">
        <f>IFERROR(IF(maxifs('Production Log'!A:A,'Production Log'!B:B,A50)=0,"",maxifs('Production Log'!A:A,'Production Log'!B:B,A50)),"")</f>
        <v/>
      </c>
      <c r="R50" s="41" t="n"/>
      <c r="S50" s="45">
        <f>IF(E50="Completed","",IF(P50=0,"",P50))</f>
        <v/>
      </c>
      <c r="T50" s="46">
        <f>IF(S50="","",S50-TODAY())</f>
        <v/>
      </c>
      <c r="AC50">
        <f>IF(AND(A50&lt;&gt;"",E50&lt;&gt;"Completed"),COUNTIFS(A$13:A50,"&lt;&gt;",E$13:E50,"&lt;&gt;Completed"),"")</f>
        <v/>
      </c>
    </row>
    <row r="51" ht="15" customHeight="1" s="25">
      <c r="A51" s="40" t="n"/>
      <c r="B51" s="40" t="n"/>
      <c r="C51" s="41" t="n"/>
      <c r="D51" s="40" t="n"/>
      <c r="E51" s="40" t="n"/>
      <c r="F51" s="40" t="n"/>
      <c r="G51" s="40" t="n"/>
      <c r="H51" s="40" t="n"/>
      <c r="I51" s="41" t="n"/>
      <c r="J51" s="44" t="n"/>
      <c r="K51" s="44" t="n"/>
      <c r="L51" s="40" t="n"/>
      <c r="M51" s="47" t="n"/>
      <c r="N51" s="45" t="n"/>
      <c r="O51" s="45" t="n"/>
      <c r="P51" s="45" t="n"/>
      <c r="Q51" s="45">
        <f>IFERROR(IF(maxifs('Production Log'!A:A,'Production Log'!B:B,A51)=0,"",maxifs('Production Log'!A:A,'Production Log'!B:B,A51)),"")</f>
        <v/>
      </c>
      <c r="R51" s="41" t="n"/>
      <c r="S51" s="45">
        <f>IF(E51="Completed","",IF(P51=0,"",P51))</f>
        <v/>
      </c>
      <c r="T51" s="46">
        <f>IF(S51="","",S51-TODAY())</f>
        <v/>
      </c>
      <c r="AC51">
        <f>IF(AND(A51&lt;&gt;"",E51&lt;&gt;"Completed"),COUNTIFS(A$13:A51,"&lt;&gt;",E$13:E51,"&lt;&gt;Completed"),"")</f>
        <v/>
      </c>
    </row>
    <row r="52" ht="15" customHeight="1" s="25">
      <c r="A52" s="40" t="n"/>
      <c r="B52" s="40" t="n"/>
      <c r="C52" s="41" t="n"/>
      <c r="D52" s="40" t="n"/>
      <c r="E52" s="40" t="n"/>
      <c r="F52" s="40" t="n"/>
      <c r="G52" s="40" t="n"/>
      <c r="H52" s="40" t="n"/>
      <c r="I52" s="41" t="n"/>
      <c r="J52" s="44" t="n"/>
      <c r="K52" s="44" t="n"/>
      <c r="L52" s="40" t="n"/>
      <c r="M52" s="47" t="n"/>
      <c r="N52" s="45" t="n"/>
      <c r="O52" s="45" t="n"/>
      <c r="P52" s="45" t="n"/>
      <c r="Q52" s="45">
        <f>IFERROR(IF(maxifs('Production Log'!A:A,'Production Log'!B:B,A52)=0,"",maxifs('Production Log'!A:A,'Production Log'!B:B,A52)),"")</f>
        <v/>
      </c>
      <c r="R52" s="41" t="n"/>
      <c r="S52" s="45">
        <f>IF(E52="Completed","",IF(P52=0,"",P52))</f>
        <v/>
      </c>
      <c r="T52" s="46">
        <f>IF(S52="","",S52-TODAY())</f>
        <v/>
      </c>
      <c r="AC52">
        <f>IF(AND(A52&lt;&gt;"",E52&lt;&gt;"Completed"),COUNTIFS(A$13:A52,"&lt;&gt;",E$13:E52,"&lt;&gt;Completed"),"")</f>
        <v/>
      </c>
    </row>
    <row r="53" ht="15" customHeight="1" s="25">
      <c r="A53" s="40" t="n"/>
      <c r="B53" s="40" t="n"/>
      <c r="C53" s="41" t="n"/>
      <c r="D53" s="40" t="n"/>
      <c r="E53" s="40" t="n"/>
      <c r="F53" s="40" t="n"/>
      <c r="G53" s="40" t="n"/>
      <c r="H53" s="40" t="n"/>
      <c r="I53" s="41" t="n"/>
      <c r="J53" s="44" t="n"/>
      <c r="K53" s="44" t="n"/>
      <c r="L53" s="40" t="n"/>
      <c r="M53" s="47" t="n"/>
      <c r="N53" s="45" t="n"/>
      <c r="O53" s="45" t="n"/>
      <c r="P53" s="45" t="n"/>
      <c r="Q53" s="45">
        <f>IFERROR(IF(maxifs('Production Log'!A:A,'Production Log'!B:B,A53)=0,"",maxifs('Production Log'!A:A,'Production Log'!B:B,A53)),"")</f>
        <v/>
      </c>
      <c r="R53" s="41" t="n"/>
      <c r="S53" s="45">
        <f>IF(E53="Completed","",IF(P53=0,"",P53))</f>
        <v/>
      </c>
      <c r="T53" s="46">
        <f>IF(S53="","",S53-TODAY())</f>
        <v/>
      </c>
      <c r="AC53">
        <f>IF(AND(A53&lt;&gt;"",E53&lt;&gt;"Completed"),COUNTIFS(A$13:A53,"&lt;&gt;",E$13:E53,"&lt;&gt;Completed"),"")</f>
        <v/>
      </c>
    </row>
    <row r="54" ht="15" customHeight="1" s="25">
      <c r="A54" s="40" t="n"/>
      <c r="B54" s="40" t="n"/>
      <c r="C54" s="41" t="n"/>
      <c r="D54" s="40" t="n"/>
      <c r="E54" s="40" t="n"/>
      <c r="F54" s="40" t="n"/>
      <c r="G54" s="40" t="n"/>
      <c r="H54" s="40" t="n"/>
      <c r="I54" s="41" t="n"/>
      <c r="J54" s="44" t="n"/>
      <c r="K54" s="44" t="n"/>
      <c r="L54" s="40" t="n"/>
      <c r="M54" s="47" t="n"/>
      <c r="N54" s="45" t="n"/>
      <c r="O54" s="45" t="n"/>
      <c r="P54" s="45" t="n"/>
      <c r="Q54" s="45">
        <f>IFERROR(IF(maxifs('Production Log'!A:A,'Production Log'!B:B,A54)=0,"",maxifs('Production Log'!A:A,'Production Log'!B:B,A54)),"")</f>
        <v/>
      </c>
      <c r="R54" s="41" t="n"/>
      <c r="S54" s="45">
        <f>IF(E54="Completed","",IF(P54=0,"",P54))</f>
        <v/>
      </c>
      <c r="T54" s="46">
        <f>IF(S54="","",S54-TODAY())</f>
        <v/>
      </c>
      <c r="AC54">
        <f>IF(AND(A54&lt;&gt;"",E54&lt;&gt;"Completed"),COUNTIFS(A$13:A54,"&lt;&gt;",E$13:E54,"&lt;&gt;Completed"),"")</f>
        <v/>
      </c>
    </row>
    <row r="55" ht="15" customHeight="1" s="25">
      <c r="A55" s="40" t="n"/>
      <c r="B55" s="40" t="n"/>
      <c r="C55" s="41" t="n"/>
      <c r="D55" s="40" t="n"/>
      <c r="E55" s="40" t="n"/>
      <c r="F55" s="40" t="n"/>
      <c r="G55" s="40" t="n"/>
      <c r="H55" s="40" t="n"/>
      <c r="I55" s="41" t="n"/>
      <c r="J55" s="44" t="n"/>
      <c r="K55" s="44" t="n"/>
      <c r="L55" s="40" t="n"/>
      <c r="M55" s="47" t="n"/>
      <c r="N55" s="45" t="n"/>
      <c r="O55" s="45" t="n"/>
      <c r="P55" s="45" t="n"/>
      <c r="Q55" s="45">
        <f>IFERROR(IF(maxifs('Production Log'!A:A,'Production Log'!B:B,A55)=0,"",maxifs('Production Log'!A:A,'Production Log'!B:B,A55)),"")</f>
        <v/>
      </c>
      <c r="R55" s="41" t="n"/>
      <c r="S55" s="45">
        <f>IF(E55="Completed","",IF(P55=0,"",P55))</f>
        <v/>
      </c>
      <c r="T55" s="46">
        <f>IF(S55="","",S55-TODAY())</f>
        <v/>
      </c>
      <c r="AC55">
        <f>IF(AND(A55&lt;&gt;"",E55&lt;&gt;"Completed"),COUNTIFS(A$13:A55,"&lt;&gt;",E$13:E55,"&lt;&gt;Completed"),"")</f>
        <v/>
      </c>
    </row>
    <row r="56" ht="15" customHeight="1" s="25">
      <c r="A56" s="40" t="n"/>
      <c r="B56" s="40" t="n"/>
      <c r="C56" s="41" t="n"/>
      <c r="D56" s="40" t="n"/>
      <c r="E56" s="40" t="n"/>
      <c r="F56" s="40" t="n"/>
      <c r="G56" s="40" t="n"/>
      <c r="H56" s="40" t="n"/>
      <c r="I56" s="41" t="n"/>
      <c r="J56" s="44" t="n"/>
      <c r="K56" s="44" t="n"/>
      <c r="L56" s="40" t="n"/>
      <c r="M56" s="47" t="n"/>
      <c r="N56" s="45" t="n"/>
      <c r="O56" s="45" t="n"/>
      <c r="P56" s="45" t="n"/>
      <c r="Q56" s="45">
        <f>IFERROR(IF(maxifs('Production Log'!A:A,'Production Log'!B:B,A56)=0,"",maxifs('Production Log'!A:A,'Production Log'!B:B,A56)),"")</f>
        <v/>
      </c>
      <c r="R56" s="41" t="n"/>
      <c r="S56" s="45">
        <f>IF(E56="Completed","",IF(P56=0,"",P56))</f>
        <v/>
      </c>
      <c r="T56" s="46">
        <f>IF(S56="","",S56-TODAY())</f>
        <v/>
      </c>
      <c r="AC56">
        <f>IF(AND(A56&lt;&gt;"",E56&lt;&gt;"Completed"),COUNTIFS(A$13:A56,"&lt;&gt;",E$13:E56,"&lt;&gt;Completed"),"")</f>
        <v/>
      </c>
    </row>
    <row r="57" ht="15" customHeight="1" s="25">
      <c r="A57" s="40" t="n"/>
      <c r="B57" s="40" t="n"/>
      <c r="C57" s="41" t="n"/>
      <c r="D57" s="40" t="n"/>
      <c r="E57" s="40" t="n"/>
      <c r="F57" s="40" t="n"/>
      <c r="G57" s="40" t="n"/>
      <c r="H57" s="40" t="n"/>
      <c r="I57" s="41" t="n"/>
      <c r="J57" s="44" t="n"/>
      <c r="K57" s="44" t="n"/>
      <c r="L57" s="40" t="n"/>
      <c r="M57" s="47" t="n"/>
      <c r="N57" s="45" t="n"/>
      <c r="O57" s="45" t="n"/>
      <c r="P57" s="45" t="n"/>
      <c r="Q57" s="45">
        <f>IFERROR(IF(maxifs('Production Log'!A:A,'Production Log'!B:B,A57)=0,"",maxifs('Production Log'!A:A,'Production Log'!B:B,A57)),"")</f>
        <v/>
      </c>
      <c r="R57" s="41" t="n"/>
      <c r="S57" s="45">
        <f>IF(E57="Completed","",IF(P57=0,"",P57))</f>
        <v/>
      </c>
      <c r="T57" s="46">
        <f>IF(S57="","",S57-TODAY())</f>
        <v/>
      </c>
      <c r="AC57">
        <f>IF(AND(A57&lt;&gt;"",E57&lt;&gt;"Completed"),COUNTIFS(A$13:A57,"&lt;&gt;",E$13:E57,"&lt;&gt;Completed"),"")</f>
        <v/>
      </c>
    </row>
    <row r="58" ht="15" customHeight="1" s="25">
      <c r="A58" s="40" t="n"/>
      <c r="B58" s="40" t="n"/>
      <c r="C58" s="41" t="n"/>
      <c r="D58" s="40" t="n"/>
      <c r="E58" s="40" t="n"/>
      <c r="F58" s="40" t="n"/>
      <c r="G58" s="40" t="n"/>
      <c r="H58" s="40" t="n"/>
      <c r="I58" s="41" t="n"/>
      <c r="J58" s="44" t="n"/>
      <c r="K58" s="44" t="n"/>
      <c r="L58" s="40" t="n"/>
      <c r="M58" s="47" t="n"/>
      <c r="N58" s="45" t="n"/>
      <c r="O58" s="45" t="n"/>
      <c r="P58" s="45" t="n"/>
      <c r="Q58" s="45">
        <f>IFERROR(IF(maxifs('Production Log'!A:A,'Production Log'!B:B,A58)=0,"",maxifs('Production Log'!A:A,'Production Log'!B:B,A58)),"")</f>
        <v/>
      </c>
      <c r="R58" s="41" t="n"/>
      <c r="S58" s="45">
        <f>IF(E58="Completed","",IF(P58=0,"",P58))</f>
        <v/>
      </c>
      <c r="T58" s="46">
        <f>IF(S58="","",S58-TODAY())</f>
        <v/>
      </c>
      <c r="AC58">
        <f>IF(AND(A58&lt;&gt;"",E58&lt;&gt;"Completed"),COUNTIFS(A$13:A58,"&lt;&gt;",E$13:E58,"&lt;&gt;Completed"),"")</f>
        <v/>
      </c>
    </row>
    <row r="59" ht="15" customHeight="1" s="25">
      <c r="A59" s="40" t="n"/>
      <c r="B59" s="40" t="n"/>
      <c r="C59" s="41" t="n"/>
      <c r="D59" s="40" t="n"/>
      <c r="E59" s="40" t="n"/>
      <c r="F59" s="40" t="n"/>
      <c r="G59" s="40" t="n"/>
      <c r="H59" s="40" t="n"/>
      <c r="I59" s="41" t="n"/>
      <c r="J59" s="44" t="n"/>
      <c r="K59" s="44" t="n"/>
      <c r="L59" s="40" t="n"/>
      <c r="M59" s="47" t="n"/>
      <c r="N59" s="45" t="n"/>
      <c r="O59" s="45" t="n"/>
      <c r="P59" s="45" t="n"/>
      <c r="Q59" s="45">
        <f>IFERROR(IF(maxifs('Production Log'!A:A,'Production Log'!B:B,A59)=0,"",maxifs('Production Log'!A:A,'Production Log'!B:B,A59)),"")</f>
        <v/>
      </c>
      <c r="R59" s="41" t="n"/>
      <c r="S59" s="45">
        <f>IF(E59="Completed","",IF(P59=0,"",P59))</f>
        <v/>
      </c>
      <c r="T59" s="46">
        <f>IF(S59="","",S59-TODAY())</f>
        <v/>
      </c>
      <c r="AC59">
        <f>IF(AND(A59&lt;&gt;"",E59&lt;&gt;"Completed"),COUNTIFS(A$13:A59,"&lt;&gt;",E$13:E59,"&lt;&gt;Completed"),"")</f>
        <v/>
      </c>
    </row>
    <row r="60" ht="15" customHeight="1" s="25">
      <c r="A60" s="40" t="n"/>
      <c r="B60" s="40" t="n"/>
      <c r="C60" s="41" t="n"/>
      <c r="D60" s="40" t="n"/>
      <c r="E60" s="40" t="n"/>
      <c r="F60" s="40" t="n"/>
      <c r="G60" s="40" t="n"/>
      <c r="H60" s="40" t="n"/>
      <c r="I60" s="41" t="n"/>
      <c r="J60" s="44" t="n"/>
      <c r="K60" s="44" t="n"/>
      <c r="L60" s="40" t="n"/>
      <c r="M60" s="47" t="n"/>
      <c r="N60" s="45" t="n"/>
      <c r="O60" s="45" t="n"/>
      <c r="P60" s="45" t="n"/>
      <c r="Q60" s="45">
        <f>IFERROR(IF(maxifs('Production Log'!A:A,'Production Log'!B:B,A60)=0,"",maxifs('Production Log'!A:A,'Production Log'!B:B,A60)),"")</f>
        <v/>
      </c>
      <c r="R60" s="41" t="n"/>
      <c r="S60" s="45">
        <f>IF(E60="Completed","",IF(P60=0,"",P60))</f>
        <v/>
      </c>
      <c r="T60" s="46">
        <f>IF(S60="","",S60-TODAY())</f>
        <v/>
      </c>
      <c r="AC60">
        <f>IF(AND(A60&lt;&gt;"",E60&lt;&gt;"Completed"),COUNTIFS(A$13:A60,"&lt;&gt;",E$13:E60,"&lt;&gt;Completed"),"")</f>
        <v/>
      </c>
    </row>
    <row r="61" ht="15" customHeight="1" s="25">
      <c r="A61" s="40" t="n"/>
      <c r="B61" s="40" t="n"/>
      <c r="C61" s="41" t="n"/>
      <c r="D61" s="40" t="n"/>
      <c r="E61" s="40" t="n"/>
      <c r="F61" s="40" t="n"/>
      <c r="G61" s="40" t="n"/>
      <c r="H61" s="40" t="n"/>
      <c r="I61" s="41" t="n"/>
      <c r="J61" s="44" t="n"/>
      <c r="K61" s="44" t="n"/>
      <c r="L61" s="40" t="n"/>
      <c r="M61" s="47" t="n"/>
      <c r="N61" s="45" t="n"/>
      <c r="O61" s="45" t="n"/>
      <c r="P61" s="45" t="n"/>
      <c r="Q61" s="45">
        <f>IFERROR(IF(maxifs('Production Log'!A:A,'Production Log'!B:B,A61)=0,"",maxifs('Production Log'!A:A,'Production Log'!B:B,A61)),"")</f>
        <v/>
      </c>
      <c r="R61" s="41" t="n"/>
      <c r="S61" s="45">
        <f>IF(E61="Completed","",IF(P61=0,"",P61))</f>
        <v/>
      </c>
      <c r="T61" s="46">
        <f>IF(S61="","",S61-TODAY())</f>
        <v/>
      </c>
      <c r="AC61">
        <f>IF(AND(A61&lt;&gt;"",E61&lt;&gt;"Completed"),COUNTIFS(A$13:A61,"&lt;&gt;",E$13:E61,"&lt;&gt;Completed"),"")</f>
        <v/>
      </c>
    </row>
    <row r="62" ht="15" customHeight="1" s="25">
      <c r="A62" s="40" t="n"/>
      <c r="B62" s="40" t="n"/>
      <c r="C62" s="41" t="n"/>
      <c r="D62" s="40" t="n"/>
      <c r="E62" s="40" t="n"/>
      <c r="F62" s="40" t="n"/>
      <c r="G62" s="40" t="n"/>
      <c r="H62" s="40" t="n"/>
      <c r="I62" s="41" t="n"/>
      <c r="J62" s="44" t="n"/>
      <c r="K62" s="44" t="n"/>
      <c r="L62" s="40" t="n"/>
      <c r="M62" s="47" t="n"/>
      <c r="N62" s="45" t="n"/>
      <c r="O62" s="45" t="n"/>
      <c r="P62" s="45" t="n"/>
      <c r="Q62" s="45">
        <f>IFERROR(IF(maxifs('Production Log'!A:A,'Production Log'!B:B,A62)=0,"",maxifs('Production Log'!A:A,'Production Log'!B:B,A62)),"")</f>
        <v/>
      </c>
      <c r="R62" s="41" t="n"/>
      <c r="S62" s="45">
        <f>IF(E62="Completed","",IF(P62=0,"",P62))</f>
        <v/>
      </c>
      <c r="T62" s="46">
        <f>IF(S62="","",S62-TODAY())</f>
        <v/>
      </c>
      <c r="AC62">
        <f>IF(AND(A62&lt;&gt;"",E62&lt;&gt;"Completed"),COUNTIFS(A$13:A62,"&lt;&gt;",E$13:E62,"&lt;&gt;Completed"),"")</f>
        <v/>
      </c>
    </row>
  </sheetData>
  <autoFilter ref="A12:R62"/>
  <mergeCells count="2">
    <mergeCell ref="A1:I1"/>
    <mergeCell ref="A2:I2"/>
  </mergeCells>
  <conditionalFormatting sqref="E13:E62">
    <cfRule type="expression" rank="0" priority="2" equalAverage="0" aboveAverage="0" dxfId="17" text="" percent="0" bottom="0">
      <formula>EXACT($E13,"1. Customer PO Received")</formula>
    </cfRule>
    <cfRule type="expression" rank="0" priority="3" equalAverage="0" aboveAverage="0" dxfId="18" text="" percent="0" bottom="0">
      <formula>EXACT($E13,"2. PO Issued to Molder")</formula>
    </cfRule>
    <cfRule type="expression" rank="0" priority="4" equalAverage="0" aboveAverage="0" dxfId="21" text="" percent="0" bottom="0">
      <formula>EXACT($E13,"3. Production &amp; Shipping")</formula>
    </cfRule>
    <cfRule type="expression" rank="0" priority="5" equalAverage="0" aboveAverage="0" dxfId="22" text="" percent="0" bottom="0">
      <formula>EXACT($E13,"Completed")</formula>
    </cfRule>
  </conditionalFormatting>
  <conditionalFormatting sqref="T13:T62">
    <cfRule type="cellIs" rank="0" priority="6" equalAverage="0" operator="lessThan" aboveAverage="0" dxfId="24" text="" percent="0" bottom="0">
      <formula>0</formula>
    </cfRule>
    <cfRule type="cellIs" rank="0" priority="7" equalAverage="0" operator="between" aboveAverage="0" dxfId="25" text="" percent="0" bottom="0">
      <formula>0</formula>
      <formula>7</formula>
    </cfRule>
    <cfRule type="cellIs" rank="0" priority="8" equalAverage="0" operator="greaterThan" aboveAverage="0" dxfId="26" text="" percent="0" bottom="0">
      <formula>7</formula>
    </cfRule>
  </conditionalFormatting>
  <conditionalFormatting sqref="A13:R62">
    <cfRule type="expression" rank="0" priority="9" equalAverage="0" aboveAverage="0" dxfId="14" text="" percent="0" bottom="0">
      <formula>$E13="Completed"</formula>
    </cfRule>
    <cfRule type="expression" rank="0" priority="10" equalAverage="0" aboveAverage="0" dxfId="27" text="" percent="0" bottom="0">
      <formula>AND($T13&lt;&gt;"",$T13&lt;0,$E13&lt;&gt;"Completed")</formula>
    </cfRule>
  </conditionalFormatting>
  <dataValidations count="4">
    <dataValidation sqref="E13:E62" showDropDown="0" showInputMessage="0" showErrorMessage="0" allowBlank="1" type="list" errorStyle="stop" operator="between">
      <formula1>"1. Customer PO Received,2. PO Issued to Molder,3. Production &amp; Shipping,Completed"</formula1>
      <formula2>0</formula2>
    </dataValidation>
    <dataValidation sqref="L13:L62" showDropDown="0" showInputMessage="0" showErrorMessage="0" allowBlank="1" type="list" errorStyle="stop" operator="between">
      <formula1>MoldList</formula1>
      <formula2>0</formula2>
    </dataValidation>
    <dataValidation sqref="B13:B62" showDropDown="0" showInputMessage="0" showErrorMessage="0" allowBlank="1" type="list" errorStyle="stop" operator="between">
      <formula1>CustomerList</formula1>
      <formula2>0</formula2>
    </dataValidation>
    <dataValidation sqref="D13:D62" showDropDown="0" showInputMessage="0" showErrorMessage="0" allowBlank="1" type="list" errorStyle="stop" operator="between">
      <formula1>MolderList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I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24" min="1" max="1"/>
    <col width="24" customWidth="1" style="24" min="2" max="2"/>
    <col width="20" customWidth="1" style="24" min="3" max="3"/>
    <col width="26" customWidth="1" style="24" min="4" max="4"/>
    <col width="15" customWidth="1" style="24" min="5" max="5"/>
    <col width="30" customWidth="1" style="24" min="6" max="7"/>
    <col width="14" customWidth="1" style="24" min="8" max="8"/>
    <col width="28" customWidth="1" style="24" min="9" max="9"/>
  </cols>
  <sheetData>
    <row r="1" ht="27.75" customHeight="1" s="25">
      <c r="A1" s="37" t="inlineStr">
        <is>
          <t>Customer ID</t>
        </is>
      </c>
      <c r="B1" s="37" t="inlineStr">
        <is>
          <t>Customer Name</t>
        </is>
      </c>
      <c r="C1" s="37" t="inlineStr">
        <is>
          <t>Primary Contact</t>
        </is>
      </c>
      <c r="D1" s="37" t="inlineStr">
        <is>
          <t>Email</t>
        </is>
      </c>
      <c r="E1" s="37" t="inlineStr">
        <is>
          <t>Phone</t>
        </is>
      </c>
      <c r="F1" s="37" t="inlineStr">
        <is>
          <t>Billing Address</t>
        </is>
      </c>
      <c r="G1" s="37" t="inlineStr">
        <is>
          <t>Shipping Address</t>
        </is>
      </c>
      <c r="H1" s="37" t="inlineStr">
        <is>
          <t>Payment Terms</t>
        </is>
      </c>
      <c r="I1" s="37" t="inlineStr">
        <is>
          <t>Notes</t>
        </is>
      </c>
    </row>
    <row r="2" ht="15" customHeight="1" s="25">
      <c r="A2" s="41" t="inlineStr">
        <is>
          <t>C-001</t>
        </is>
      </c>
      <c r="B2" s="41" t="inlineStr">
        <is>
          <t>Acme Industries</t>
        </is>
      </c>
      <c r="C2" s="41" t="inlineStr">
        <is>
          <t>Jane Doe</t>
        </is>
      </c>
      <c r="D2" s="41" t="inlineStr">
        <is>
          <t>jane@acme.com</t>
        </is>
      </c>
      <c r="E2" s="41" t="inlineStr">
        <is>
          <t>555-201-3344</t>
        </is>
      </c>
      <c r="F2" s="41" t="inlineStr">
        <is>
          <t>123 Acme Way, Detroit, MI</t>
        </is>
      </c>
      <c r="G2" s="41" t="inlineStr">
        <is>
          <t>Same as billing</t>
        </is>
      </c>
      <c r="H2" s="41" t="inlineStr">
        <is>
          <t>Net 30</t>
        </is>
      </c>
      <c r="I2" s="41" t="inlineStr">
        <is>
          <t>Long-time partner</t>
        </is>
      </c>
    </row>
    <row r="3" ht="15" customHeight="1" s="25">
      <c r="A3" s="41" t="inlineStr">
        <is>
          <t>C-002</t>
        </is>
      </c>
      <c r="B3" s="41" t="inlineStr">
        <is>
          <t>Beacon Electronics</t>
        </is>
      </c>
      <c r="C3" s="41" t="inlineStr">
        <is>
          <t>Mark Lee</t>
        </is>
      </c>
      <c r="D3" s="41" t="inlineStr">
        <is>
          <t>mark@beacon.com</t>
        </is>
      </c>
      <c r="E3" s="41" t="inlineStr">
        <is>
          <t>555-998-1010</t>
        </is>
      </c>
      <c r="F3" s="41" t="inlineStr">
        <is>
          <t>44 Circuit Rd, Austin, TX</t>
        </is>
      </c>
      <c r="G3" s="41" t="inlineStr">
        <is>
          <t>44 Circuit Rd, Austin, TX</t>
        </is>
      </c>
      <c r="H3" s="41" t="inlineStr">
        <is>
          <t>Net 45</t>
        </is>
      </c>
      <c r="I3" s="41" t="inlineStr">
        <is>
          <t>Quarterly forecasts</t>
        </is>
      </c>
    </row>
    <row r="4" ht="15" customHeight="1" s="25">
      <c r="A4" s="41" t="inlineStr">
        <is>
          <t>C-003</t>
        </is>
      </c>
      <c r="B4" s="41" t="inlineStr">
        <is>
          <t>Cedar Outdoor Co.</t>
        </is>
      </c>
      <c r="C4" s="41" t="inlineStr">
        <is>
          <t>Priya Singh</t>
        </is>
      </c>
      <c r="D4" s="41" t="inlineStr">
        <is>
          <t>priya@cedar.com</t>
        </is>
      </c>
      <c r="E4" s="41" t="inlineStr">
        <is>
          <t>555-303-2020</t>
        </is>
      </c>
      <c r="F4" s="41" t="inlineStr">
        <is>
          <t>9 Lakeview Dr, Boise, ID</t>
        </is>
      </c>
      <c r="G4" s="41" t="inlineStr">
        <is>
          <t>1 Cedar Whse, Nampa, ID</t>
        </is>
      </c>
      <c r="H4" s="41" t="inlineStr">
        <is>
          <t>Net 30</t>
        </is>
      </c>
      <c r="I4" s="41" t="inlineStr">
        <is>
          <t>Seasonal volumes</t>
        </is>
      </c>
    </row>
    <row r="5" ht="15" customHeight="1" s="25">
      <c r="A5" s="41" t="inlineStr">
        <is>
          <t>C-004</t>
        </is>
      </c>
      <c r="B5" s="41" t="inlineStr">
        <is>
          <t>Drift Medical</t>
        </is>
      </c>
      <c r="C5" s="41" t="inlineStr">
        <is>
          <t>Sam Park</t>
        </is>
      </c>
      <c r="D5" s="41" t="inlineStr">
        <is>
          <t>sam@driftmed.com</t>
        </is>
      </c>
      <c r="E5" s="41" t="inlineStr">
        <is>
          <t>555-707-1212</t>
        </is>
      </c>
      <c r="F5" s="41" t="inlineStr">
        <is>
          <t>200 Hospital Ln, Boston, MA</t>
        </is>
      </c>
      <c r="G5" s="41" t="inlineStr">
        <is>
          <t>Same as billing</t>
        </is>
      </c>
      <c r="H5" s="41" t="inlineStr">
        <is>
          <t>Net 60</t>
        </is>
      </c>
      <c r="I5" s="41" t="inlineStr">
        <is>
          <t>ISO 13485 required</t>
        </is>
      </c>
    </row>
    <row r="6" ht="15" customHeight="1" s="25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</row>
    <row r="7" ht="15" customHeight="1" s="25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</row>
    <row r="8" ht="15" customHeight="1" s="25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</row>
    <row r="9" ht="15" customHeight="1" s="25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</row>
    <row r="10" ht="15" customHeight="1" s="25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</row>
    <row r="11" ht="15" customHeight="1" s="25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</row>
    <row r="12" ht="15" customHeight="1" s="25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</row>
    <row r="13" ht="15" customHeight="1" s="25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</row>
    <row r="14" ht="15" customHeight="1" s="25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</row>
    <row r="15" ht="15" customHeight="1" s="2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</row>
    <row r="16" ht="15" customHeight="1" s="25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</row>
    <row r="17" ht="15" customHeight="1" s="25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</row>
    <row r="18" ht="15" customHeight="1" s="25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</row>
    <row r="19" ht="15" customHeight="1" s="25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</row>
    <row r="20" ht="15" customHeight="1" s="25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</row>
    <row r="21" ht="15" customHeight="1" s="25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</row>
    <row r="22" ht="15" customHeight="1" s="25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</row>
    <row r="23" ht="15" customHeight="1" s="25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</row>
    <row r="24" ht="15" customHeight="1" s="25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</row>
    <row r="25" ht="15" customHeight="1" s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</row>
    <row r="26" ht="15" customHeight="1" s="25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</row>
    <row r="27" ht="15" customHeight="1" s="25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</row>
    <row r="28" ht="15" customHeight="1" s="25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</row>
    <row r="29" ht="15" customHeight="1" s="25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</row>
    <row r="30" ht="15" customHeight="1" s="25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</row>
    <row r="31" ht="15" customHeight="1" s="25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</row>
    <row r="32" ht="15" customHeight="1" s="25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</row>
    <row r="33" ht="15" customHeight="1" s="25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</row>
    <row r="34" ht="15" customHeight="1" s="25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</row>
    <row r="35" ht="15" customHeight="1" s="2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</row>
    <row r="36" ht="15" customHeight="1" s="25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</row>
    <row r="37" ht="15" customHeight="1" s="25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</row>
    <row r="38" ht="15" customHeight="1" s="25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</row>
    <row r="39" ht="15" customHeight="1" s="25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</row>
    <row r="40" ht="15" customHeight="1" s="25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</row>
    <row r="41" ht="15" customHeight="1" s="25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</row>
    <row r="42" ht="15" customHeight="1" s="25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</row>
    <row r="43" ht="15" customHeight="1" s="25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</row>
    <row r="44" ht="15" customHeight="1" s="25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</row>
    <row r="45" ht="15" customHeight="1" s="2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</row>
    <row r="46" ht="15" customHeight="1" s="25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</row>
    <row r="47" ht="15" customHeight="1" s="25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</row>
    <row r="48" ht="15" customHeight="1" s="25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</row>
    <row r="49" ht="15" customHeight="1" s="25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</row>
    <row r="50" ht="15" customHeight="1" s="25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I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24" min="1" max="1"/>
    <col width="26" customWidth="1" style="24" min="2" max="2"/>
    <col width="20" customWidth="1" style="24" min="3" max="3"/>
    <col width="28" customWidth="1" style="24" min="4" max="4"/>
    <col width="15" customWidth="1" style="24" min="5" max="5"/>
    <col width="18" customWidth="1" style="24" min="6" max="6"/>
    <col width="40" customWidth="1" style="24" min="7" max="7"/>
    <col width="15" customWidth="1" style="24" min="8" max="8"/>
    <col width="28" customWidth="1" style="24" min="9" max="9"/>
  </cols>
  <sheetData>
    <row r="1" ht="27.75" customHeight="1" s="25">
      <c r="A1" s="37" t="inlineStr">
        <is>
          <t>Molder ID</t>
        </is>
      </c>
      <c r="B1" s="37" t="inlineStr">
        <is>
          <t>Molder Name</t>
        </is>
      </c>
      <c r="C1" s="37" t="inlineStr">
        <is>
          <t>Primary Contact</t>
        </is>
      </c>
      <c r="D1" s="37" t="inlineStr">
        <is>
          <t>Email</t>
        </is>
      </c>
      <c r="E1" s="37" t="inlineStr">
        <is>
          <t>Phone</t>
        </is>
      </c>
      <c r="F1" s="37" t="inlineStr">
        <is>
          <t>Location</t>
        </is>
      </c>
      <c r="G1" s="37" t="inlineStr">
        <is>
          <t>Capabilities</t>
        </is>
      </c>
      <c r="H1" s="37" t="inlineStr">
        <is>
          <t>Lead Time (wks)</t>
        </is>
      </c>
      <c r="I1" s="37" t="inlineStr">
        <is>
          <t>Notes</t>
        </is>
      </c>
    </row>
    <row r="2" ht="15" customHeight="1" s="25">
      <c r="A2" s="41" t="inlineStr">
        <is>
          <t>M-001</t>
        </is>
      </c>
      <c r="B2" s="41" t="inlineStr">
        <is>
          <t>Precision Plastics LLC</t>
        </is>
      </c>
      <c r="C2" s="41" t="inlineStr">
        <is>
          <t>Tony Rivera</t>
        </is>
      </c>
      <c r="D2" s="41" t="inlineStr">
        <is>
          <t>tony@precisionplastics.com</t>
        </is>
      </c>
      <c r="E2" s="41" t="inlineStr">
        <is>
          <t>555-411-2200</t>
        </is>
      </c>
      <c r="F2" s="41" t="inlineStr">
        <is>
          <t>Cleveland, OH</t>
        </is>
      </c>
      <c r="G2" s="41" t="inlineStr">
        <is>
          <t>Tooling + production, ABS/PC/PP, up to 500T</t>
        </is>
      </c>
      <c r="H2" s="41" t="inlineStr">
        <is>
          <t>8-10</t>
        </is>
      </c>
      <c r="I2" s="41" t="inlineStr">
        <is>
          <t>Strong on tight tolerances</t>
        </is>
      </c>
    </row>
    <row r="3" ht="15" customHeight="1" s="25">
      <c r="A3" s="41" t="inlineStr">
        <is>
          <t>M-002</t>
        </is>
      </c>
      <c r="B3" s="41" t="inlineStr">
        <is>
          <t>Summit Mold Works</t>
        </is>
      </c>
      <c r="C3" s="41" t="inlineStr">
        <is>
          <t>Wei Zhang</t>
        </is>
      </c>
      <c r="D3" s="41" t="inlineStr">
        <is>
          <t>wei@summitmold.com</t>
        </is>
      </c>
      <c r="E3" s="41" t="inlineStr">
        <is>
          <t>555-822-7733</t>
        </is>
      </c>
      <c r="F3" s="41" t="inlineStr">
        <is>
          <t>Greenville, SC</t>
        </is>
      </c>
      <c r="G3" s="41" t="inlineStr">
        <is>
          <t>Tooling, multi-cavity, family molds</t>
        </is>
      </c>
      <c r="H3" s="41" t="inlineStr">
        <is>
          <t>10-12</t>
        </is>
      </c>
      <c r="I3" s="41" t="inlineStr">
        <is>
          <t>Best for complex molds</t>
        </is>
      </c>
    </row>
    <row r="4" ht="15" customHeight="1" s="25">
      <c r="A4" s="41" t="inlineStr">
        <is>
          <t>M-003</t>
        </is>
      </c>
      <c r="B4" s="41" t="inlineStr">
        <is>
          <t>Pacific Injection Co.</t>
        </is>
      </c>
      <c r="C4" s="41" t="inlineStr">
        <is>
          <t>Diego Alvarez</t>
        </is>
      </c>
      <c r="D4" s="41" t="inlineStr">
        <is>
          <t>diego@pacificinj.com</t>
        </is>
      </c>
      <c r="E4" s="41" t="inlineStr">
        <is>
          <t>555-650-9090</t>
        </is>
      </c>
      <c r="F4" s="41" t="inlineStr">
        <is>
          <t>Long Beach, CA</t>
        </is>
      </c>
      <c r="G4" s="41" t="inlineStr">
        <is>
          <t>Production runs, overmolding, insert molding</t>
        </is>
      </c>
      <c r="H4" s="41" t="inlineStr">
        <is>
          <t>6-8</t>
        </is>
      </c>
      <c r="I4" s="41" t="inlineStr">
        <is>
          <t>Fast turnarounds</t>
        </is>
      </c>
    </row>
    <row r="5" ht="15" customHeight="1" s="2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</row>
    <row r="6" ht="15" customHeight="1" s="25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</row>
    <row r="7" ht="15" customHeight="1" s="25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</row>
    <row r="8" ht="15" customHeight="1" s="25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</row>
    <row r="9" ht="15" customHeight="1" s="25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</row>
    <row r="10" ht="15" customHeight="1" s="25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</row>
    <row r="11" ht="15" customHeight="1" s="25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</row>
    <row r="12" ht="15" customHeight="1" s="25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</row>
    <row r="13" ht="15" customHeight="1" s="25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</row>
    <row r="14" ht="15" customHeight="1" s="25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</row>
    <row r="15" ht="15" customHeight="1" s="2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</row>
    <row r="16" ht="15" customHeight="1" s="25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</row>
    <row r="17" ht="15" customHeight="1" s="25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</row>
    <row r="18" ht="15" customHeight="1" s="25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</row>
    <row r="19" ht="15" customHeight="1" s="25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</row>
    <row r="20" ht="15" customHeight="1" s="25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</row>
    <row r="21" ht="15" customHeight="1" s="25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</row>
    <row r="22" ht="15" customHeight="1" s="25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</row>
    <row r="23" ht="15" customHeight="1" s="25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</row>
    <row r="24" ht="15" customHeight="1" s="25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</row>
    <row r="25" ht="15" customHeight="1" s="25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</row>
    <row r="26" ht="15" customHeight="1" s="25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</row>
    <row r="27" ht="15" customHeight="1" s="25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</row>
    <row r="28" ht="15" customHeight="1" s="25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</row>
    <row r="29" ht="15" customHeight="1" s="25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</row>
    <row r="30" ht="15" customHeight="1" s="25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</row>
    <row r="31" ht="15" customHeight="1" s="25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</row>
    <row r="32" ht="15" customHeight="1" s="25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</row>
    <row r="33" ht="15" customHeight="1" s="25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</row>
    <row r="34" ht="15" customHeight="1" s="25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</row>
    <row r="35" ht="15" customHeight="1" s="2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</row>
    <row r="36" ht="15" customHeight="1" s="25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</row>
    <row r="37" ht="15" customHeight="1" s="25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</row>
    <row r="38" ht="15" customHeight="1" s="25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</row>
    <row r="39" ht="15" customHeight="1" s="25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</row>
    <row r="40" ht="15" customHeight="1" s="25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</row>
    <row r="41" ht="15" customHeight="1" s="25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</row>
    <row r="42" ht="15" customHeight="1" s="25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</row>
    <row r="43" ht="15" customHeight="1" s="25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</row>
    <row r="44" ht="15" customHeight="1" s="25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</row>
    <row r="45" ht="15" customHeight="1" s="2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</row>
    <row r="46" ht="15" customHeight="1" s="25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</row>
    <row r="47" ht="15" customHeight="1" s="25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</row>
    <row r="48" ht="15" customHeight="1" s="25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</row>
    <row r="49" ht="15" customHeight="1" s="25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</row>
    <row r="50" ht="15" customHeight="1" s="25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J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4" min="1" max="1"/>
    <col width="22" customWidth="1" style="24" min="2" max="2"/>
    <col width="24" customWidth="1" style="24" min="3" max="3"/>
    <col width="26" customWidth="1" style="24" min="4" max="4"/>
    <col width="13" customWidth="1" style="24" min="5" max="6"/>
    <col width="14" customWidth="1" style="24" min="7" max="7"/>
    <col width="13" customWidth="1" style="24" min="8" max="8"/>
    <col width="12" customWidth="1" style="24" min="9" max="9"/>
    <col width="28" customWidth="1" style="24" min="10" max="10"/>
  </cols>
  <sheetData>
    <row r="1" ht="27.75" customHeight="1" s="25">
      <c r="A1" s="37" t="inlineStr">
        <is>
          <t>Mold ID</t>
        </is>
      </c>
      <c r="B1" s="37" t="inlineStr">
        <is>
          <t>Part Name</t>
        </is>
      </c>
      <c r="C1" s="37" t="inlineStr">
        <is>
          <t>Customer</t>
        </is>
      </c>
      <c r="D1" s="37" t="inlineStr">
        <is>
          <t>Molder</t>
        </is>
      </c>
      <c r="E1" s="37" t="inlineStr">
        <is>
          <t>Cavity Count</t>
        </is>
      </c>
      <c r="F1" s="37" t="inlineStr">
        <is>
          <t>Date Built</t>
        </is>
      </c>
      <c r="G1" s="37" t="inlineStr">
        <is>
          <t>Last Run Date</t>
        </is>
      </c>
      <c r="H1" s="37" t="inlineStr">
        <is>
          <t>Total Cycles</t>
        </is>
      </c>
      <c r="I1" s="37" t="inlineStr">
        <is>
          <t>Status</t>
        </is>
      </c>
      <c r="J1" s="37" t="inlineStr">
        <is>
          <t>Notes</t>
        </is>
      </c>
    </row>
    <row r="2" ht="15" customHeight="1" s="25">
      <c r="A2" s="41" t="inlineStr">
        <is>
          <t>MOLD-1001</t>
        </is>
      </c>
      <c r="B2" s="41" t="inlineStr">
        <is>
          <t>Acme Bracket A1</t>
        </is>
      </c>
      <c r="C2" s="41" t="inlineStr">
        <is>
          <t>Acme Industries</t>
        </is>
      </c>
      <c r="D2" s="41" t="inlineStr">
        <is>
          <t>Precision Plastics LLC</t>
        </is>
      </c>
      <c r="E2" s="41" t="n">
        <v>4</v>
      </c>
      <c r="F2" s="48" t="n">
        <v>45366</v>
      </c>
      <c r="G2" s="48" t="n">
        <v>46063</v>
      </c>
      <c r="H2" s="49" t="n">
        <v>85000</v>
      </c>
      <c r="I2" s="41" t="inlineStr">
        <is>
          <t>Active</t>
        </is>
      </c>
      <c r="J2" s="41" t="inlineStr">
        <is>
          <t>Refurbished Q4-2025</t>
        </is>
      </c>
    </row>
    <row r="3" ht="15" customHeight="1" s="25">
      <c r="A3" s="41" t="inlineStr">
        <is>
          <t>MOLD-1002</t>
        </is>
      </c>
      <c r="B3" s="41" t="inlineStr">
        <is>
          <t>Beacon Housing v2</t>
        </is>
      </c>
      <c r="C3" s="41" t="inlineStr">
        <is>
          <t>Beacon Electronics</t>
        </is>
      </c>
      <c r="D3" s="41" t="inlineStr">
        <is>
          <t>Summit Mold Works</t>
        </is>
      </c>
      <c r="E3" s="41" t="n">
        <v>2</v>
      </c>
      <c r="F3" s="48" t="n">
        <v>45536</v>
      </c>
      <c r="G3" s="48" t="n">
        <v>46044</v>
      </c>
      <c r="H3" s="49" t="n">
        <v>42000</v>
      </c>
      <c r="I3" s="41" t="inlineStr">
        <is>
          <t>Active</t>
        </is>
      </c>
      <c r="J3" s="41" t="n"/>
    </row>
    <row r="4" ht="15" customHeight="1" s="25">
      <c r="A4" s="41" t="inlineStr">
        <is>
          <t>MOLD-1003</t>
        </is>
      </c>
      <c r="B4" s="41" t="inlineStr">
        <is>
          <t>Cedar Cup Lid</t>
        </is>
      </c>
      <c r="C4" s="41" t="inlineStr">
        <is>
          <t>Cedar Outdoor Co.</t>
        </is>
      </c>
      <c r="D4" s="41" t="inlineStr">
        <is>
          <t>Pacific Injection Co.</t>
        </is>
      </c>
      <c r="E4" s="41" t="n">
        <v>8</v>
      </c>
      <c r="F4" s="48" t="n">
        <v>45677</v>
      </c>
      <c r="G4" s="48" t="n">
        <v>46117</v>
      </c>
      <c r="H4" s="49" t="n">
        <v>320000</v>
      </c>
      <c r="I4" s="41" t="inlineStr">
        <is>
          <t>Active</t>
        </is>
      </c>
      <c r="J4" s="41" t="inlineStr">
        <is>
          <t>High-volume seasonal</t>
        </is>
      </c>
    </row>
    <row r="5" ht="15" customHeight="1" s="25">
      <c r="A5" s="41" t="inlineStr">
        <is>
          <t>MOLD-1004</t>
        </is>
      </c>
      <c r="B5" s="41" t="inlineStr">
        <is>
          <t>Drift Connector</t>
        </is>
      </c>
      <c r="C5" s="41" t="inlineStr">
        <is>
          <t>Drift Medical</t>
        </is>
      </c>
      <c r="D5" s="41" t="inlineStr">
        <is>
          <t>Precision Plastics LLC</t>
        </is>
      </c>
      <c r="E5" s="41" t="n">
        <v>1</v>
      </c>
      <c r="F5" s="48" t="n">
        <v>45087</v>
      </c>
      <c r="G5" s="48" t="n">
        <v>45991</v>
      </c>
      <c r="H5" s="49" t="n">
        <v>18000</v>
      </c>
      <c r="I5" s="41" t="inlineStr">
        <is>
          <t>Retired</t>
        </is>
      </c>
      <c r="J5" s="41" t="inlineStr">
        <is>
          <t>Replaced by MOLD-1010</t>
        </is>
      </c>
    </row>
    <row r="6" ht="15" customHeight="1" s="25">
      <c r="A6" s="41" t="n"/>
      <c r="B6" s="41" t="n"/>
      <c r="C6" s="41" t="n"/>
      <c r="D6" s="41" t="n"/>
      <c r="E6" s="41" t="n"/>
      <c r="F6" s="48" t="n"/>
      <c r="G6" s="48" t="n"/>
      <c r="H6" s="49" t="n"/>
      <c r="I6" s="41" t="n"/>
      <c r="J6" s="41" t="n"/>
    </row>
    <row r="7" ht="15" customHeight="1" s="25">
      <c r="A7" s="41" t="n"/>
      <c r="B7" s="41" t="n"/>
      <c r="C7" s="41" t="n"/>
      <c r="D7" s="41" t="n"/>
      <c r="E7" s="41" t="n"/>
      <c r="F7" s="48" t="n"/>
      <c r="G7" s="48" t="n"/>
      <c r="H7" s="49" t="n"/>
      <c r="I7" s="41" t="n"/>
      <c r="J7" s="41" t="n"/>
    </row>
    <row r="8" ht="15" customHeight="1" s="25">
      <c r="A8" s="41" t="n"/>
      <c r="B8" s="41" t="n"/>
      <c r="C8" s="41" t="n"/>
      <c r="D8" s="41" t="n"/>
      <c r="E8" s="41" t="n"/>
      <c r="F8" s="48" t="n"/>
      <c r="G8" s="48" t="n"/>
      <c r="H8" s="49" t="n"/>
      <c r="I8" s="41" t="n"/>
      <c r="J8" s="41" t="n"/>
    </row>
    <row r="9" ht="15" customHeight="1" s="25">
      <c r="A9" s="41" t="n"/>
      <c r="B9" s="41" t="n"/>
      <c r="C9" s="41" t="n"/>
      <c r="D9" s="41" t="n"/>
      <c r="E9" s="41" t="n"/>
      <c r="F9" s="48" t="n"/>
      <c r="G9" s="48" t="n"/>
      <c r="H9" s="49" t="n"/>
      <c r="I9" s="41" t="n"/>
      <c r="J9" s="41" t="n"/>
    </row>
    <row r="10" ht="15" customHeight="1" s="25">
      <c r="A10" s="41" t="n"/>
      <c r="B10" s="41" t="n"/>
      <c r="C10" s="41" t="n"/>
      <c r="D10" s="41" t="n"/>
      <c r="E10" s="41" t="n"/>
      <c r="F10" s="48" t="n"/>
      <c r="G10" s="48" t="n"/>
      <c r="H10" s="49" t="n"/>
      <c r="I10" s="41" t="n"/>
      <c r="J10" s="41" t="n"/>
    </row>
    <row r="11" ht="15" customHeight="1" s="25">
      <c r="A11" s="41" t="n"/>
      <c r="B11" s="41" t="n"/>
      <c r="C11" s="41" t="n"/>
      <c r="D11" s="41" t="n"/>
      <c r="E11" s="41" t="n"/>
      <c r="F11" s="48" t="n"/>
      <c r="G11" s="48" t="n"/>
      <c r="H11" s="49" t="n"/>
      <c r="I11" s="41" t="n"/>
      <c r="J11" s="41" t="n"/>
    </row>
    <row r="12" ht="15" customHeight="1" s="25">
      <c r="A12" s="41" t="n"/>
      <c r="B12" s="41" t="n"/>
      <c r="C12" s="41" t="n"/>
      <c r="D12" s="41" t="n"/>
      <c r="E12" s="41" t="n"/>
      <c r="F12" s="48" t="n"/>
      <c r="G12" s="48" t="n"/>
      <c r="H12" s="49" t="n"/>
      <c r="I12" s="41" t="n"/>
      <c r="J12" s="41" t="n"/>
    </row>
    <row r="13" ht="15" customHeight="1" s="25">
      <c r="A13" s="41" t="n"/>
      <c r="B13" s="41" t="n"/>
      <c r="C13" s="41" t="n"/>
      <c r="D13" s="41" t="n"/>
      <c r="E13" s="41" t="n"/>
      <c r="F13" s="48" t="n"/>
      <c r="G13" s="48" t="n"/>
      <c r="H13" s="49" t="n"/>
      <c r="I13" s="41" t="n"/>
      <c r="J13" s="41" t="n"/>
    </row>
    <row r="14" ht="15" customHeight="1" s="25">
      <c r="A14" s="41" t="n"/>
      <c r="B14" s="41" t="n"/>
      <c r="C14" s="41" t="n"/>
      <c r="D14" s="41" t="n"/>
      <c r="E14" s="41" t="n"/>
      <c r="F14" s="48" t="n"/>
      <c r="G14" s="48" t="n"/>
      <c r="H14" s="49" t="n"/>
      <c r="I14" s="41" t="n"/>
      <c r="J14" s="41" t="n"/>
    </row>
    <row r="15" ht="15" customHeight="1" s="25">
      <c r="A15" s="41" t="n"/>
      <c r="B15" s="41" t="n"/>
      <c r="C15" s="41" t="n"/>
      <c r="D15" s="41" t="n"/>
      <c r="E15" s="41" t="n"/>
      <c r="F15" s="48" t="n"/>
      <c r="G15" s="48" t="n"/>
      <c r="H15" s="49" t="n"/>
      <c r="I15" s="41" t="n"/>
      <c r="J15" s="41" t="n"/>
    </row>
    <row r="16" ht="15" customHeight="1" s="25">
      <c r="A16" s="41" t="n"/>
      <c r="B16" s="41" t="n"/>
      <c r="C16" s="41" t="n"/>
      <c r="D16" s="41" t="n"/>
      <c r="E16" s="41" t="n"/>
      <c r="F16" s="48" t="n"/>
      <c r="G16" s="48" t="n"/>
      <c r="H16" s="49" t="n"/>
      <c r="I16" s="41" t="n"/>
      <c r="J16" s="41" t="n"/>
    </row>
    <row r="17" ht="15" customHeight="1" s="25">
      <c r="A17" s="41" t="n"/>
      <c r="B17" s="41" t="n"/>
      <c r="C17" s="41" t="n"/>
      <c r="D17" s="41" t="n"/>
      <c r="E17" s="41" t="n"/>
      <c r="F17" s="48" t="n"/>
      <c r="G17" s="48" t="n"/>
      <c r="H17" s="49" t="n"/>
      <c r="I17" s="41" t="n"/>
      <c r="J17" s="41" t="n"/>
    </row>
    <row r="18" ht="15" customHeight="1" s="25">
      <c r="A18" s="41" t="n"/>
      <c r="B18" s="41" t="n"/>
      <c r="C18" s="41" t="n"/>
      <c r="D18" s="41" t="n"/>
      <c r="E18" s="41" t="n"/>
      <c r="F18" s="48" t="n"/>
      <c r="G18" s="48" t="n"/>
      <c r="H18" s="49" t="n"/>
      <c r="I18" s="41" t="n"/>
      <c r="J18" s="41" t="n"/>
    </row>
    <row r="19" ht="15" customHeight="1" s="25">
      <c r="A19" s="41" t="n"/>
      <c r="B19" s="41" t="n"/>
      <c r="C19" s="41" t="n"/>
      <c r="D19" s="41" t="n"/>
      <c r="E19" s="41" t="n"/>
      <c r="F19" s="48" t="n"/>
      <c r="G19" s="48" t="n"/>
      <c r="H19" s="49" t="n"/>
      <c r="I19" s="41" t="n"/>
      <c r="J19" s="41" t="n"/>
    </row>
    <row r="20" ht="15" customHeight="1" s="25">
      <c r="A20" s="41" t="n"/>
      <c r="B20" s="41" t="n"/>
      <c r="C20" s="41" t="n"/>
      <c r="D20" s="41" t="n"/>
      <c r="E20" s="41" t="n"/>
      <c r="F20" s="48" t="n"/>
      <c r="G20" s="48" t="n"/>
      <c r="H20" s="49" t="n"/>
      <c r="I20" s="41" t="n"/>
      <c r="J20" s="41" t="n"/>
    </row>
    <row r="21" ht="15" customHeight="1" s="25">
      <c r="A21" s="41" t="n"/>
      <c r="B21" s="41" t="n"/>
      <c r="C21" s="41" t="n"/>
      <c r="D21" s="41" t="n"/>
      <c r="E21" s="41" t="n"/>
      <c r="F21" s="48" t="n"/>
      <c r="G21" s="48" t="n"/>
      <c r="H21" s="49" t="n"/>
      <c r="I21" s="41" t="n"/>
      <c r="J21" s="41" t="n"/>
    </row>
    <row r="22" ht="15" customHeight="1" s="25">
      <c r="A22" s="41" t="n"/>
      <c r="B22" s="41" t="n"/>
      <c r="C22" s="41" t="n"/>
      <c r="D22" s="41" t="n"/>
      <c r="E22" s="41" t="n"/>
      <c r="F22" s="48" t="n"/>
      <c r="G22" s="48" t="n"/>
      <c r="H22" s="49" t="n"/>
      <c r="I22" s="41" t="n"/>
      <c r="J22" s="41" t="n"/>
    </row>
    <row r="23" ht="15" customHeight="1" s="25">
      <c r="A23" s="41" t="n"/>
      <c r="B23" s="41" t="n"/>
      <c r="C23" s="41" t="n"/>
      <c r="D23" s="41" t="n"/>
      <c r="E23" s="41" t="n"/>
      <c r="F23" s="48" t="n"/>
      <c r="G23" s="48" t="n"/>
      <c r="H23" s="49" t="n"/>
      <c r="I23" s="41" t="n"/>
      <c r="J23" s="41" t="n"/>
    </row>
    <row r="24" ht="15" customHeight="1" s="25">
      <c r="A24" s="41" t="n"/>
      <c r="B24" s="41" t="n"/>
      <c r="C24" s="41" t="n"/>
      <c r="D24" s="41" t="n"/>
      <c r="E24" s="41" t="n"/>
      <c r="F24" s="48" t="n"/>
      <c r="G24" s="48" t="n"/>
      <c r="H24" s="49" t="n"/>
      <c r="I24" s="41" t="n"/>
      <c r="J24" s="41" t="n"/>
    </row>
    <row r="25" ht="15" customHeight="1" s="25">
      <c r="A25" s="41" t="n"/>
      <c r="B25" s="41" t="n"/>
      <c r="C25" s="41" t="n"/>
      <c r="D25" s="41" t="n"/>
      <c r="E25" s="41" t="n"/>
      <c r="F25" s="48" t="n"/>
      <c r="G25" s="48" t="n"/>
      <c r="H25" s="49" t="n"/>
      <c r="I25" s="41" t="n"/>
      <c r="J25" s="41" t="n"/>
    </row>
    <row r="26" ht="15" customHeight="1" s="25">
      <c r="A26" s="41" t="n"/>
      <c r="B26" s="41" t="n"/>
      <c r="C26" s="41" t="n"/>
      <c r="D26" s="41" t="n"/>
      <c r="E26" s="41" t="n"/>
      <c r="F26" s="48" t="n"/>
      <c r="G26" s="48" t="n"/>
      <c r="H26" s="49" t="n"/>
      <c r="I26" s="41" t="n"/>
      <c r="J26" s="41" t="n"/>
    </row>
    <row r="27" ht="15" customHeight="1" s="25">
      <c r="A27" s="41" t="n"/>
      <c r="B27" s="41" t="n"/>
      <c r="C27" s="41" t="n"/>
      <c r="D27" s="41" t="n"/>
      <c r="E27" s="41" t="n"/>
      <c r="F27" s="48" t="n"/>
      <c r="G27" s="48" t="n"/>
      <c r="H27" s="49" t="n"/>
      <c r="I27" s="41" t="n"/>
      <c r="J27" s="41" t="n"/>
    </row>
    <row r="28" ht="15" customHeight="1" s="25">
      <c r="A28" s="41" t="n"/>
      <c r="B28" s="41" t="n"/>
      <c r="C28" s="41" t="n"/>
      <c r="D28" s="41" t="n"/>
      <c r="E28" s="41" t="n"/>
      <c r="F28" s="48" t="n"/>
      <c r="G28" s="48" t="n"/>
      <c r="H28" s="49" t="n"/>
      <c r="I28" s="41" t="n"/>
      <c r="J28" s="41" t="n"/>
    </row>
    <row r="29" ht="15" customHeight="1" s="25">
      <c r="A29" s="41" t="n"/>
      <c r="B29" s="41" t="n"/>
      <c r="C29" s="41" t="n"/>
      <c r="D29" s="41" t="n"/>
      <c r="E29" s="41" t="n"/>
      <c r="F29" s="48" t="n"/>
      <c r="G29" s="48" t="n"/>
      <c r="H29" s="49" t="n"/>
      <c r="I29" s="41" t="n"/>
      <c r="J29" s="41" t="n"/>
    </row>
    <row r="30" ht="15" customHeight="1" s="25">
      <c r="A30" s="41" t="n"/>
      <c r="B30" s="41" t="n"/>
      <c r="C30" s="41" t="n"/>
      <c r="D30" s="41" t="n"/>
      <c r="E30" s="41" t="n"/>
      <c r="F30" s="48" t="n"/>
      <c r="G30" s="48" t="n"/>
      <c r="H30" s="49" t="n"/>
      <c r="I30" s="41" t="n"/>
      <c r="J30" s="41" t="n"/>
    </row>
    <row r="31" ht="15" customHeight="1" s="25">
      <c r="A31" s="41" t="n"/>
      <c r="B31" s="41" t="n"/>
      <c r="C31" s="41" t="n"/>
      <c r="D31" s="41" t="n"/>
      <c r="E31" s="41" t="n"/>
      <c r="F31" s="48" t="n"/>
      <c r="G31" s="48" t="n"/>
      <c r="H31" s="49" t="n"/>
      <c r="I31" s="41" t="n"/>
      <c r="J31" s="41" t="n"/>
    </row>
    <row r="32" ht="15" customHeight="1" s="25">
      <c r="A32" s="41" t="n"/>
      <c r="B32" s="41" t="n"/>
      <c r="C32" s="41" t="n"/>
      <c r="D32" s="41" t="n"/>
      <c r="E32" s="41" t="n"/>
      <c r="F32" s="48" t="n"/>
      <c r="G32" s="48" t="n"/>
      <c r="H32" s="49" t="n"/>
      <c r="I32" s="41" t="n"/>
      <c r="J32" s="41" t="n"/>
    </row>
    <row r="33" ht="15" customHeight="1" s="25">
      <c r="A33" s="41" t="n"/>
      <c r="B33" s="41" t="n"/>
      <c r="C33" s="41" t="n"/>
      <c r="D33" s="41" t="n"/>
      <c r="E33" s="41" t="n"/>
      <c r="F33" s="48" t="n"/>
      <c r="G33" s="48" t="n"/>
      <c r="H33" s="49" t="n"/>
      <c r="I33" s="41" t="n"/>
      <c r="J33" s="41" t="n"/>
    </row>
    <row r="34" ht="15" customHeight="1" s="25">
      <c r="A34" s="41" t="n"/>
      <c r="B34" s="41" t="n"/>
      <c r="C34" s="41" t="n"/>
      <c r="D34" s="41" t="n"/>
      <c r="E34" s="41" t="n"/>
      <c r="F34" s="48" t="n"/>
      <c r="G34" s="48" t="n"/>
      <c r="H34" s="49" t="n"/>
      <c r="I34" s="41" t="n"/>
      <c r="J34" s="41" t="n"/>
    </row>
    <row r="35" ht="15" customHeight="1" s="25">
      <c r="A35" s="41" t="n"/>
      <c r="B35" s="41" t="n"/>
      <c r="C35" s="41" t="n"/>
      <c r="D35" s="41" t="n"/>
      <c r="E35" s="41" t="n"/>
      <c r="F35" s="48" t="n"/>
      <c r="G35" s="48" t="n"/>
      <c r="H35" s="49" t="n"/>
      <c r="I35" s="41" t="n"/>
      <c r="J35" s="41" t="n"/>
    </row>
    <row r="36" ht="15" customHeight="1" s="25">
      <c r="A36" s="41" t="n"/>
      <c r="B36" s="41" t="n"/>
      <c r="C36" s="41" t="n"/>
      <c r="D36" s="41" t="n"/>
      <c r="E36" s="41" t="n"/>
      <c r="F36" s="48" t="n"/>
      <c r="G36" s="48" t="n"/>
      <c r="H36" s="49" t="n"/>
      <c r="I36" s="41" t="n"/>
      <c r="J36" s="41" t="n"/>
    </row>
    <row r="37" ht="15" customHeight="1" s="25">
      <c r="A37" s="41" t="n"/>
      <c r="B37" s="41" t="n"/>
      <c r="C37" s="41" t="n"/>
      <c r="D37" s="41" t="n"/>
      <c r="E37" s="41" t="n"/>
      <c r="F37" s="48" t="n"/>
      <c r="G37" s="48" t="n"/>
      <c r="H37" s="49" t="n"/>
      <c r="I37" s="41" t="n"/>
      <c r="J37" s="41" t="n"/>
    </row>
    <row r="38" ht="15" customHeight="1" s="25">
      <c r="A38" s="41" t="n"/>
      <c r="B38" s="41" t="n"/>
      <c r="C38" s="41" t="n"/>
      <c r="D38" s="41" t="n"/>
      <c r="E38" s="41" t="n"/>
      <c r="F38" s="48" t="n"/>
      <c r="G38" s="48" t="n"/>
      <c r="H38" s="49" t="n"/>
      <c r="I38" s="41" t="n"/>
      <c r="J38" s="41" t="n"/>
    </row>
    <row r="39" ht="15" customHeight="1" s="25">
      <c r="A39" s="41" t="n"/>
      <c r="B39" s="41" t="n"/>
      <c r="C39" s="41" t="n"/>
      <c r="D39" s="41" t="n"/>
      <c r="E39" s="41" t="n"/>
      <c r="F39" s="48" t="n"/>
      <c r="G39" s="48" t="n"/>
      <c r="H39" s="49" t="n"/>
      <c r="I39" s="41" t="n"/>
      <c r="J39" s="41" t="n"/>
    </row>
    <row r="40" ht="15" customHeight="1" s="25">
      <c r="A40" s="41" t="n"/>
      <c r="B40" s="41" t="n"/>
      <c r="C40" s="41" t="n"/>
      <c r="D40" s="41" t="n"/>
      <c r="E40" s="41" t="n"/>
      <c r="F40" s="48" t="n"/>
      <c r="G40" s="48" t="n"/>
      <c r="H40" s="49" t="n"/>
      <c r="I40" s="41" t="n"/>
      <c r="J40" s="41" t="n"/>
    </row>
    <row r="41" ht="15" customHeight="1" s="25">
      <c r="A41" s="41" t="n"/>
      <c r="B41" s="41" t="n"/>
      <c r="C41" s="41" t="n"/>
      <c r="D41" s="41" t="n"/>
      <c r="E41" s="41" t="n"/>
      <c r="F41" s="48" t="n"/>
      <c r="G41" s="48" t="n"/>
      <c r="H41" s="49" t="n"/>
      <c r="I41" s="41" t="n"/>
      <c r="J41" s="41" t="n"/>
    </row>
    <row r="42" ht="15" customHeight="1" s="25">
      <c r="A42" s="41" t="n"/>
      <c r="B42" s="41" t="n"/>
      <c r="C42" s="41" t="n"/>
      <c r="D42" s="41" t="n"/>
      <c r="E42" s="41" t="n"/>
      <c r="F42" s="48" t="n"/>
      <c r="G42" s="48" t="n"/>
      <c r="H42" s="49" t="n"/>
      <c r="I42" s="41" t="n"/>
      <c r="J42" s="41" t="n"/>
    </row>
    <row r="43" ht="15" customHeight="1" s="25">
      <c r="A43" s="41" t="n"/>
      <c r="B43" s="41" t="n"/>
      <c r="C43" s="41" t="n"/>
      <c r="D43" s="41" t="n"/>
      <c r="E43" s="41" t="n"/>
      <c r="F43" s="48" t="n"/>
      <c r="G43" s="48" t="n"/>
      <c r="H43" s="49" t="n"/>
      <c r="I43" s="41" t="n"/>
      <c r="J43" s="41" t="n"/>
    </row>
    <row r="44" ht="15" customHeight="1" s="25">
      <c r="A44" s="41" t="n"/>
      <c r="B44" s="41" t="n"/>
      <c r="C44" s="41" t="n"/>
      <c r="D44" s="41" t="n"/>
      <c r="E44" s="41" t="n"/>
      <c r="F44" s="48" t="n"/>
      <c r="G44" s="48" t="n"/>
      <c r="H44" s="49" t="n"/>
      <c r="I44" s="41" t="n"/>
      <c r="J44" s="41" t="n"/>
    </row>
    <row r="45" ht="15" customHeight="1" s="25">
      <c r="A45" s="41" t="n"/>
      <c r="B45" s="41" t="n"/>
      <c r="C45" s="41" t="n"/>
      <c r="D45" s="41" t="n"/>
      <c r="E45" s="41" t="n"/>
      <c r="F45" s="48" t="n"/>
      <c r="G45" s="48" t="n"/>
      <c r="H45" s="49" t="n"/>
      <c r="I45" s="41" t="n"/>
      <c r="J45" s="41" t="n"/>
    </row>
    <row r="46" ht="15" customHeight="1" s="25">
      <c r="A46" s="41" t="n"/>
      <c r="B46" s="41" t="n"/>
      <c r="C46" s="41" t="n"/>
      <c r="D46" s="41" t="n"/>
      <c r="E46" s="41" t="n"/>
      <c r="F46" s="48" t="n"/>
      <c r="G46" s="48" t="n"/>
      <c r="H46" s="49" t="n"/>
      <c r="I46" s="41" t="n"/>
      <c r="J46" s="41" t="n"/>
    </row>
    <row r="47" ht="15" customHeight="1" s="25">
      <c r="A47" s="41" t="n"/>
      <c r="B47" s="41" t="n"/>
      <c r="C47" s="41" t="n"/>
      <c r="D47" s="41" t="n"/>
      <c r="E47" s="41" t="n"/>
      <c r="F47" s="48" t="n"/>
      <c r="G47" s="48" t="n"/>
      <c r="H47" s="49" t="n"/>
      <c r="I47" s="41" t="n"/>
      <c r="J47" s="41" t="n"/>
    </row>
    <row r="48" ht="15" customHeight="1" s="25">
      <c r="A48" s="41" t="n"/>
      <c r="B48" s="41" t="n"/>
      <c r="C48" s="41" t="n"/>
      <c r="D48" s="41" t="n"/>
      <c r="E48" s="41" t="n"/>
      <c r="F48" s="48" t="n"/>
      <c r="G48" s="48" t="n"/>
      <c r="H48" s="49" t="n"/>
      <c r="I48" s="41" t="n"/>
      <c r="J48" s="41" t="n"/>
    </row>
    <row r="49" ht="15" customHeight="1" s="25">
      <c r="A49" s="41" t="n"/>
      <c r="B49" s="41" t="n"/>
      <c r="C49" s="41" t="n"/>
      <c r="D49" s="41" t="n"/>
      <c r="E49" s="41" t="n"/>
      <c r="F49" s="48" t="n"/>
      <c r="G49" s="48" t="n"/>
      <c r="H49" s="49" t="n"/>
      <c r="I49" s="41" t="n"/>
      <c r="J49" s="41" t="n"/>
    </row>
    <row r="50" ht="15" customHeight="1" s="25">
      <c r="A50" s="41" t="n"/>
      <c r="B50" s="41" t="n"/>
      <c r="C50" s="41" t="n"/>
      <c r="D50" s="41" t="n"/>
      <c r="E50" s="41" t="n"/>
      <c r="F50" s="48" t="n"/>
      <c r="G50" s="48" t="n"/>
      <c r="H50" s="49" t="n"/>
      <c r="I50" s="41" t="n"/>
      <c r="J50" s="41" t="n"/>
    </row>
  </sheetData>
  <conditionalFormatting sqref="I2:I500">
    <cfRule type="expression" rank="0" priority="2" equalAverage="0" aboveAverage="0" dxfId="29" text="" percent="0" bottom="0">
      <formula>EXACT($I2,"Active")</formula>
    </cfRule>
    <cfRule type="expression" rank="0" priority="3" equalAverage="0" aboveAverage="0" dxfId="30" text="" percent="0" bottom="0">
      <formula>EXACT($I2,"Retired")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N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24" min="1" max="1"/>
    <col width="15" customWidth="1" style="24" min="2" max="3"/>
    <col width="22" customWidth="1" style="24" min="4" max="5"/>
    <col width="24" customWidth="1" style="24" min="6" max="6"/>
    <col width="12" customWidth="1" style="24" min="7" max="8"/>
    <col width="13" customWidth="1" style="24" min="9" max="9"/>
    <col width="14" customWidth="1" style="24" min="10" max="11"/>
    <col width="22" customWidth="1" style="24" min="12" max="12"/>
    <col width="11" customWidth="1" style="24" min="13" max="13"/>
    <col width="24" customWidth="1" style="24" min="14" max="14"/>
  </cols>
  <sheetData>
    <row r="1" ht="27.75" customHeight="1" s="25">
      <c r="A1" s="37" t="inlineStr">
        <is>
          <t>Ship Date</t>
        </is>
      </c>
      <c r="B1" s="37" t="inlineStr">
        <is>
          <t>Job #</t>
        </is>
      </c>
      <c r="C1" s="37" t="inlineStr">
        <is>
          <t>Shipment Type</t>
        </is>
      </c>
      <c r="D1" s="37" t="inlineStr">
        <is>
          <t>Customer</t>
        </is>
      </c>
      <c r="E1" s="37" t="inlineStr">
        <is>
          <t>Part Name</t>
        </is>
      </c>
      <c r="F1" s="37" t="inlineStr">
        <is>
          <t>Molder</t>
        </is>
      </c>
      <c r="G1" s="37" t="inlineStr">
        <is>
          <t>Mold ID</t>
        </is>
      </c>
      <c r="H1" s="37" t="inlineStr">
        <is>
          <t>Quantity</t>
        </is>
      </c>
      <c r="I1" s="37" t="inlineStr">
        <is>
          <t>Unit Price ($)</t>
        </is>
      </c>
      <c r="J1" s="37" t="inlineStr">
        <is>
          <t>Run Total ($)</t>
        </is>
      </c>
      <c r="K1" s="37" t="inlineStr">
        <is>
          <t>Customer PO #</t>
        </is>
      </c>
      <c r="L1" s="37" t="inlineStr">
        <is>
          <t>Tracking #</t>
        </is>
      </c>
      <c r="M1" s="37" t="inlineStr">
        <is>
          <t>Carrier</t>
        </is>
      </c>
      <c r="N1" s="37" t="inlineStr">
        <is>
          <t>Notes</t>
        </is>
      </c>
    </row>
    <row r="2" ht="15" customHeight="1" s="25">
      <c r="A2" s="48" t="n">
        <v>46063</v>
      </c>
      <c r="B2" s="41" t="inlineStr">
        <is>
          <t>JOB-2024-031</t>
        </is>
      </c>
      <c r="C2" s="41" t="inlineStr">
        <is>
          <t>Reorder</t>
        </is>
      </c>
      <c r="D2" s="41" t="inlineStr">
        <is>
          <t>Acme Industries</t>
        </is>
      </c>
      <c r="E2" s="41" t="inlineStr">
        <is>
          <t>Acme Bracket A1</t>
        </is>
      </c>
      <c r="F2" s="41" t="inlineStr">
        <is>
          <t>Precision Plastics LLC</t>
        </is>
      </c>
      <c r="G2" s="41" t="inlineStr">
        <is>
          <t>MOLD-1001</t>
        </is>
      </c>
      <c r="H2" s="49" t="n">
        <v>10000</v>
      </c>
      <c r="I2" s="50" t="n">
        <v>1.85</v>
      </c>
      <c r="J2" s="50">
        <f>H2*I2</f>
        <v/>
      </c>
      <c r="K2" s="41" t="inlineStr">
        <is>
          <t>PO-AC-7781</t>
        </is>
      </c>
      <c r="L2" s="41" t="inlineStr">
        <is>
          <t>1Z999AA10123456784</t>
        </is>
      </c>
      <c r="M2" s="41" t="inlineStr">
        <is>
          <t>UPS</t>
        </is>
      </c>
      <c r="N2" s="41" t="n"/>
    </row>
    <row r="3" ht="15" customHeight="1" s="25">
      <c r="A3" s="48" t="n">
        <v>46044</v>
      </c>
      <c r="B3" s="41" t="inlineStr">
        <is>
          <t>JOB-2024-027</t>
        </is>
      </c>
      <c r="C3" s="41" t="inlineStr">
        <is>
          <t>Reorder</t>
        </is>
      </c>
      <c r="D3" s="41" t="inlineStr">
        <is>
          <t>Beacon Electronics</t>
        </is>
      </c>
      <c r="E3" s="41" t="inlineStr">
        <is>
          <t>Beacon Housing v2</t>
        </is>
      </c>
      <c r="F3" s="41" t="inlineStr">
        <is>
          <t>Summit Mold Works</t>
        </is>
      </c>
      <c r="G3" s="41" t="inlineStr">
        <is>
          <t>MOLD-1002</t>
        </is>
      </c>
      <c r="H3" s="49" t="n">
        <v>5000</v>
      </c>
      <c r="I3" s="50" t="n">
        <v>3.2</v>
      </c>
      <c r="J3" s="50">
        <f>H3*I3</f>
        <v/>
      </c>
      <c r="K3" s="41" t="inlineStr">
        <is>
          <t>PO-BE-3320</t>
        </is>
      </c>
      <c r="L3" s="41" t="inlineStr">
        <is>
          <t>773812345678</t>
        </is>
      </c>
      <c r="M3" s="41" t="inlineStr">
        <is>
          <t>FedEx</t>
        </is>
      </c>
      <c r="N3" s="41" t="n"/>
    </row>
    <row r="4" ht="23.85" customHeight="1" s="25">
      <c r="A4" s="48" t="n">
        <v>46117</v>
      </c>
      <c r="B4" s="41" t="inlineStr">
        <is>
          <t>JOB-2026-002</t>
        </is>
      </c>
      <c r="C4" s="41" t="inlineStr">
        <is>
          <t>Reorder</t>
        </is>
      </c>
      <c r="D4" s="41" t="inlineStr">
        <is>
          <t>Cedar Outdoor Co.</t>
        </is>
      </c>
      <c r="E4" s="41" t="inlineStr">
        <is>
          <t>Cedar Cup Lid</t>
        </is>
      </c>
      <c r="F4" s="41" t="inlineStr">
        <is>
          <t>Pacific Injection Co.</t>
        </is>
      </c>
      <c r="G4" s="41" t="inlineStr">
        <is>
          <t>MOLD-1003</t>
        </is>
      </c>
      <c r="H4" s="49" t="n">
        <v>50000</v>
      </c>
      <c r="I4" s="50" t="n">
        <v>0.42</v>
      </c>
      <c r="J4" s="50">
        <f>H4*I4</f>
        <v/>
      </c>
      <c r="K4" s="41" t="inlineStr">
        <is>
          <t>PO-CD-1199</t>
        </is>
      </c>
      <c r="L4" s="41" t="inlineStr">
        <is>
          <t>9400111202555432198765</t>
        </is>
      </c>
      <c r="M4" s="41" t="inlineStr">
        <is>
          <t>USPS</t>
        </is>
      </c>
      <c r="N4" s="41" t="inlineStr">
        <is>
          <t>Seasonal</t>
        </is>
      </c>
    </row>
    <row r="5" ht="15" customHeight="1" s="25">
      <c r="A5" s="48" t="n">
        <v>46115</v>
      </c>
      <c r="B5" s="41" t="inlineStr">
        <is>
          <t>JOB-2026-103</t>
        </is>
      </c>
      <c r="C5" s="41" t="inlineStr">
        <is>
          <t>Sample / FAI</t>
        </is>
      </c>
      <c r="D5" s="41" t="inlineStr">
        <is>
          <t>Drift Medical</t>
        </is>
      </c>
      <c r="E5" s="41" t="inlineStr">
        <is>
          <t>Drift Connector v2</t>
        </is>
      </c>
      <c r="F5" s="41" t="inlineStr">
        <is>
          <t>Precision Plastics LLC</t>
        </is>
      </c>
      <c r="G5" s="41" t="inlineStr">
        <is>
          <t>MOLD-1010</t>
        </is>
      </c>
      <c r="H5" s="49" t="n">
        <v>50</v>
      </c>
      <c r="I5" s="50" t="n">
        <v>0</v>
      </c>
      <c r="J5" s="50">
        <f>H5*I5</f>
        <v/>
      </c>
      <c r="K5" s="41" t="inlineStr">
        <is>
          <t>PO-DM-2210</t>
        </is>
      </c>
      <c r="L5" s="41" t="inlineStr">
        <is>
          <t>1Z999AA10ABCDEF123</t>
        </is>
      </c>
      <c r="M5" s="41" t="inlineStr">
        <is>
          <t>UPS</t>
        </is>
      </c>
      <c r="N5" s="41" t="inlineStr">
        <is>
          <t>FAI samples for approval</t>
        </is>
      </c>
    </row>
    <row r="6" ht="15" customHeight="1" s="25">
      <c r="A6" s="48" t="n">
        <v>46130</v>
      </c>
      <c r="B6" s="41" t="inlineStr">
        <is>
          <t>JOB-2026-100</t>
        </is>
      </c>
      <c r="C6" s="41" t="inlineStr">
        <is>
          <t>Production</t>
        </is>
      </c>
      <c r="D6" s="41" t="inlineStr">
        <is>
          <t>Drift Medical</t>
        </is>
      </c>
      <c r="E6" s="41" t="inlineStr">
        <is>
          <t>Drift Connector v1</t>
        </is>
      </c>
      <c r="F6" s="41" t="inlineStr">
        <is>
          <t>Precision Plastics LLC</t>
        </is>
      </c>
      <c r="G6" s="41" t="inlineStr">
        <is>
          <t>MOLD-1004</t>
        </is>
      </c>
      <c r="H6" s="49" t="n">
        <v>2500</v>
      </c>
      <c r="I6" s="50" t="n">
        <v>2.15</v>
      </c>
      <c r="J6" s="50">
        <f>H6*I6</f>
        <v/>
      </c>
      <c r="K6" s="41" t="inlineStr">
        <is>
          <t>PO-DM-2200</t>
        </is>
      </c>
      <c r="L6" s="41" t="inlineStr">
        <is>
          <t>1Z999AA10987654321</t>
        </is>
      </c>
      <c r="M6" s="41" t="inlineStr">
        <is>
          <t>UPS</t>
        </is>
      </c>
      <c r="N6" s="41" t="inlineStr">
        <is>
          <t>Production run</t>
        </is>
      </c>
    </row>
    <row r="7" ht="15" customHeight="1" s="25">
      <c r="A7" s="48" t="n"/>
      <c r="B7" s="41" t="n"/>
      <c r="C7" s="41" t="n"/>
      <c r="D7" s="41" t="n"/>
      <c r="E7" s="41" t="n"/>
      <c r="F7" s="41" t="n"/>
      <c r="G7" s="41" t="n"/>
      <c r="H7" s="49" t="n"/>
      <c r="I7" s="50" t="n"/>
      <c r="J7" s="50">
        <f>IFERROR(H7*I7,"")</f>
        <v/>
      </c>
      <c r="K7" s="41" t="n"/>
      <c r="L7" s="41" t="n"/>
      <c r="M7" s="41" t="n"/>
      <c r="N7" s="41" t="n"/>
    </row>
    <row r="8" ht="15" customHeight="1" s="25">
      <c r="A8" s="48" t="n"/>
      <c r="B8" s="41" t="n"/>
      <c r="C8" s="41" t="n"/>
      <c r="D8" s="41" t="n"/>
      <c r="E8" s="41" t="n"/>
      <c r="F8" s="41" t="n"/>
      <c r="G8" s="41" t="n"/>
      <c r="H8" s="49" t="n"/>
      <c r="I8" s="50" t="n"/>
      <c r="J8" s="50">
        <f>IFERROR(H8*I8,"")</f>
        <v/>
      </c>
      <c r="K8" s="41" t="n"/>
      <c r="L8" s="41" t="n"/>
      <c r="M8" s="41" t="n"/>
      <c r="N8" s="41" t="n"/>
    </row>
    <row r="9" ht="15" customHeight="1" s="25">
      <c r="A9" s="48" t="n"/>
      <c r="B9" s="41" t="n"/>
      <c r="C9" s="41" t="n"/>
      <c r="D9" s="41" t="n"/>
      <c r="E9" s="41" t="n"/>
      <c r="F9" s="41" t="n"/>
      <c r="G9" s="41" t="n"/>
      <c r="H9" s="49" t="n"/>
      <c r="I9" s="50" t="n"/>
      <c r="J9" s="50">
        <f>IFERROR(H9*I9,"")</f>
        <v/>
      </c>
      <c r="K9" s="41" t="n"/>
      <c r="L9" s="41" t="n"/>
      <c r="M9" s="41" t="n"/>
      <c r="N9" s="41" t="n"/>
    </row>
    <row r="10" ht="15" customHeight="1" s="25">
      <c r="A10" s="48" t="n"/>
      <c r="B10" s="41" t="n"/>
      <c r="C10" s="41" t="n"/>
      <c r="D10" s="41" t="n"/>
      <c r="E10" s="41" t="n"/>
      <c r="F10" s="41" t="n"/>
      <c r="G10" s="41" t="n"/>
      <c r="H10" s="49" t="n"/>
      <c r="I10" s="50" t="n"/>
      <c r="J10" s="50">
        <f>IFERROR(H10*I10,"")</f>
        <v/>
      </c>
      <c r="K10" s="41" t="n"/>
      <c r="L10" s="41" t="n"/>
      <c r="M10" s="41" t="n"/>
      <c r="N10" s="41" t="n"/>
    </row>
    <row r="11" ht="15" customHeight="1" s="25">
      <c r="A11" s="48" t="n"/>
      <c r="B11" s="41" t="n"/>
      <c r="C11" s="41" t="n"/>
      <c r="D11" s="41" t="n"/>
      <c r="E11" s="41" t="n"/>
      <c r="F11" s="41" t="n"/>
      <c r="G11" s="41" t="n"/>
      <c r="H11" s="49" t="n"/>
      <c r="I11" s="50" t="n"/>
      <c r="J11" s="50">
        <f>IFERROR(H11*I11,"")</f>
        <v/>
      </c>
      <c r="K11" s="41" t="n"/>
      <c r="L11" s="41" t="n"/>
      <c r="M11" s="41" t="n"/>
      <c r="N11" s="41" t="n"/>
    </row>
    <row r="12" ht="15" customHeight="1" s="25">
      <c r="A12" s="48" t="n"/>
      <c r="B12" s="41" t="n"/>
      <c r="C12" s="41" t="n"/>
      <c r="D12" s="41" t="n"/>
      <c r="E12" s="41" t="n"/>
      <c r="F12" s="41" t="n"/>
      <c r="G12" s="41" t="n"/>
      <c r="H12" s="49" t="n"/>
      <c r="I12" s="50" t="n"/>
      <c r="J12" s="50">
        <f>IFERROR(H12*I12,"")</f>
        <v/>
      </c>
      <c r="K12" s="41" t="n"/>
      <c r="L12" s="41" t="n"/>
      <c r="M12" s="41" t="n"/>
      <c r="N12" s="41" t="n"/>
    </row>
    <row r="13" ht="15" customHeight="1" s="25">
      <c r="A13" s="48" t="n"/>
      <c r="B13" s="41" t="n"/>
      <c r="C13" s="41" t="n"/>
      <c r="D13" s="41" t="n"/>
      <c r="E13" s="41" t="n"/>
      <c r="F13" s="41" t="n"/>
      <c r="G13" s="41" t="n"/>
      <c r="H13" s="49" t="n"/>
      <c r="I13" s="50" t="n"/>
      <c r="J13" s="50">
        <f>IFERROR(H13*I13,"")</f>
        <v/>
      </c>
      <c r="K13" s="41" t="n"/>
      <c r="L13" s="41" t="n"/>
      <c r="M13" s="41" t="n"/>
      <c r="N13" s="41" t="n"/>
    </row>
    <row r="14" ht="15" customHeight="1" s="25">
      <c r="A14" s="48" t="n"/>
      <c r="B14" s="41" t="n"/>
      <c r="C14" s="41" t="n"/>
      <c r="D14" s="41" t="n"/>
      <c r="E14" s="41" t="n"/>
      <c r="F14" s="41" t="n"/>
      <c r="G14" s="41" t="n"/>
      <c r="H14" s="49" t="n"/>
      <c r="I14" s="50" t="n"/>
      <c r="J14" s="50">
        <f>IFERROR(H14*I14,"")</f>
        <v/>
      </c>
      <c r="K14" s="41" t="n"/>
      <c r="L14" s="41" t="n"/>
      <c r="M14" s="41" t="n"/>
      <c r="N14" s="41" t="n"/>
    </row>
    <row r="15" ht="15" customHeight="1" s="25">
      <c r="A15" s="48" t="n"/>
      <c r="B15" s="41" t="n"/>
      <c r="C15" s="41" t="n"/>
      <c r="D15" s="41" t="n"/>
      <c r="E15" s="41" t="n"/>
      <c r="F15" s="41" t="n"/>
      <c r="G15" s="41" t="n"/>
      <c r="H15" s="49" t="n"/>
      <c r="I15" s="50" t="n"/>
      <c r="J15" s="50">
        <f>IFERROR(H15*I15,"")</f>
        <v/>
      </c>
      <c r="K15" s="41" t="n"/>
      <c r="L15" s="41" t="n"/>
      <c r="M15" s="41" t="n"/>
      <c r="N15" s="41" t="n"/>
    </row>
    <row r="16" ht="15" customHeight="1" s="25">
      <c r="A16" s="48" t="n"/>
      <c r="B16" s="41" t="n"/>
      <c r="C16" s="41" t="n"/>
      <c r="D16" s="41" t="n"/>
      <c r="E16" s="41" t="n"/>
      <c r="F16" s="41" t="n"/>
      <c r="G16" s="41" t="n"/>
      <c r="H16" s="49" t="n"/>
      <c r="I16" s="50" t="n"/>
      <c r="J16" s="50">
        <f>IFERROR(H16*I16,"")</f>
        <v/>
      </c>
      <c r="K16" s="41" t="n"/>
      <c r="L16" s="41" t="n"/>
      <c r="M16" s="41" t="n"/>
      <c r="N16" s="41" t="n"/>
    </row>
    <row r="17" ht="15" customHeight="1" s="25">
      <c r="A17" s="48" t="n"/>
      <c r="B17" s="41" t="n"/>
      <c r="C17" s="41" t="n"/>
      <c r="D17" s="41" t="n"/>
      <c r="E17" s="41" t="n"/>
      <c r="F17" s="41" t="n"/>
      <c r="G17" s="41" t="n"/>
      <c r="H17" s="49" t="n"/>
      <c r="I17" s="50" t="n"/>
      <c r="J17" s="50">
        <f>IFERROR(H17*I17,"")</f>
        <v/>
      </c>
      <c r="K17" s="41" t="n"/>
      <c r="L17" s="41" t="n"/>
      <c r="M17" s="41" t="n"/>
      <c r="N17" s="41" t="n"/>
    </row>
    <row r="18" ht="15" customHeight="1" s="25">
      <c r="A18" s="48" t="n"/>
      <c r="B18" s="41" t="n"/>
      <c r="C18" s="41" t="n"/>
      <c r="D18" s="41" t="n"/>
      <c r="E18" s="41" t="n"/>
      <c r="F18" s="41" t="n"/>
      <c r="G18" s="41" t="n"/>
      <c r="H18" s="49" t="n"/>
      <c r="I18" s="50" t="n"/>
      <c r="J18" s="50">
        <f>IFERROR(H18*I18,"")</f>
        <v/>
      </c>
      <c r="K18" s="41" t="n"/>
      <c r="L18" s="41" t="n"/>
      <c r="M18" s="41" t="n"/>
      <c r="N18" s="41" t="n"/>
    </row>
    <row r="19" ht="15" customHeight="1" s="25">
      <c r="A19" s="48" t="n"/>
      <c r="B19" s="41" t="n"/>
      <c r="C19" s="41" t="n"/>
      <c r="D19" s="41" t="n"/>
      <c r="E19" s="41" t="n"/>
      <c r="F19" s="41" t="n"/>
      <c r="G19" s="41" t="n"/>
      <c r="H19" s="49" t="n"/>
      <c r="I19" s="50" t="n"/>
      <c r="J19" s="50">
        <f>IFERROR(H19*I19,"")</f>
        <v/>
      </c>
      <c r="K19" s="41" t="n"/>
      <c r="L19" s="41" t="n"/>
      <c r="M19" s="41" t="n"/>
      <c r="N19" s="41" t="n"/>
    </row>
    <row r="20" ht="15" customHeight="1" s="25">
      <c r="A20" s="48" t="n"/>
      <c r="B20" s="41" t="n"/>
      <c r="C20" s="41" t="n"/>
      <c r="D20" s="41" t="n"/>
      <c r="E20" s="41" t="n"/>
      <c r="F20" s="41" t="n"/>
      <c r="G20" s="41" t="n"/>
      <c r="H20" s="49" t="n"/>
      <c r="I20" s="50" t="n"/>
      <c r="J20" s="50">
        <f>IFERROR(H20*I20,"")</f>
        <v/>
      </c>
      <c r="K20" s="41" t="n"/>
      <c r="L20" s="41" t="n"/>
      <c r="M20" s="41" t="n"/>
      <c r="N20" s="41" t="n"/>
    </row>
    <row r="21" ht="15" customHeight="1" s="25">
      <c r="A21" s="48" t="n"/>
      <c r="B21" s="41" t="n"/>
      <c r="C21" s="41" t="n"/>
      <c r="D21" s="41" t="n"/>
      <c r="E21" s="41" t="n"/>
      <c r="F21" s="41" t="n"/>
      <c r="G21" s="41" t="n"/>
      <c r="H21" s="49" t="n"/>
      <c r="I21" s="50" t="n"/>
      <c r="J21" s="50">
        <f>IFERROR(H21*I21,"")</f>
        <v/>
      </c>
      <c r="K21" s="41" t="n"/>
      <c r="L21" s="41" t="n"/>
      <c r="M21" s="41" t="n"/>
      <c r="N21" s="41" t="n"/>
    </row>
    <row r="22" ht="15" customHeight="1" s="25">
      <c r="A22" s="48" t="n"/>
      <c r="B22" s="41" t="n"/>
      <c r="C22" s="41" t="n"/>
      <c r="D22" s="41" t="n"/>
      <c r="E22" s="41" t="n"/>
      <c r="F22" s="41" t="n"/>
      <c r="G22" s="41" t="n"/>
      <c r="H22" s="49" t="n"/>
      <c r="I22" s="50" t="n"/>
      <c r="J22" s="50">
        <f>IFERROR(H22*I22,"")</f>
        <v/>
      </c>
      <c r="K22" s="41" t="n"/>
      <c r="L22" s="41" t="n"/>
      <c r="M22" s="41" t="n"/>
      <c r="N22" s="41" t="n"/>
    </row>
    <row r="23" ht="15" customHeight="1" s="25">
      <c r="A23" s="48" t="n"/>
      <c r="B23" s="41" t="n"/>
      <c r="C23" s="41" t="n"/>
      <c r="D23" s="41" t="n"/>
      <c r="E23" s="41" t="n"/>
      <c r="F23" s="41" t="n"/>
      <c r="G23" s="41" t="n"/>
      <c r="H23" s="49" t="n"/>
      <c r="I23" s="50" t="n"/>
      <c r="J23" s="50">
        <f>IFERROR(H23*I23,"")</f>
        <v/>
      </c>
      <c r="K23" s="41" t="n"/>
      <c r="L23" s="41" t="n"/>
      <c r="M23" s="41" t="n"/>
      <c r="N23" s="41" t="n"/>
    </row>
    <row r="24" ht="15" customHeight="1" s="25">
      <c r="A24" s="48" t="n"/>
      <c r="B24" s="41" t="n"/>
      <c r="C24" s="41" t="n"/>
      <c r="D24" s="41" t="n"/>
      <c r="E24" s="41" t="n"/>
      <c r="F24" s="41" t="n"/>
      <c r="G24" s="41" t="n"/>
      <c r="H24" s="49" t="n"/>
      <c r="I24" s="50" t="n"/>
      <c r="J24" s="50">
        <f>IFERROR(H24*I24,"")</f>
        <v/>
      </c>
      <c r="K24" s="41" t="n"/>
      <c r="L24" s="41" t="n"/>
      <c r="M24" s="41" t="n"/>
      <c r="N24" s="41" t="n"/>
    </row>
    <row r="25" ht="15" customHeight="1" s="25">
      <c r="A25" s="48" t="n"/>
      <c r="B25" s="41" t="n"/>
      <c r="C25" s="41" t="n"/>
      <c r="D25" s="41" t="n"/>
      <c r="E25" s="41" t="n"/>
      <c r="F25" s="41" t="n"/>
      <c r="G25" s="41" t="n"/>
      <c r="H25" s="49" t="n"/>
      <c r="I25" s="50" t="n"/>
      <c r="J25" s="50">
        <f>IFERROR(H25*I25,"")</f>
        <v/>
      </c>
      <c r="K25" s="41" t="n"/>
      <c r="L25" s="41" t="n"/>
      <c r="M25" s="41" t="n"/>
      <c r="N25" s="41" t="n"/>
    </row>
    <row r="26" ht="15" customHeight="1" s="25">
      <c r="A26" s="48" t="n"/>
      <c r="B26" s="41" t="n"/>
      <c r="C26" s="41" t="n"/>
      <c r="D26" s="41" t="n"/>
      <c r="E26" s="41" t="n"/>
      <c r="F26" s="41" t="n"/>
      <c r="G26" s="41" t="n"/>
      <c r="H26" s="49" t="n"/>
      <c r="I26" s="50" t="n"/>
      <c r="J26" s="50">
        <f>IFERROR(H26*I26,"")</f>
        <v/>
      </c>
      <c r="K26" s="41" t="n"/>
      <c r="L26" s="41" t="n"/>
      <c r="M26" s="41" t="n"/>
      <c r="N26" s="41" t="n"/>
    </row>
    <row r="27" ht="15" customHeight="1" s="25">
      <c r="A27" s="48" t="n"/>
      <c r="B27" s="41" t="n"/>
      <c r="C27" s="41" t="n"/>
      <c r="D27" s="41" t="n"/>
      <c r="E27" s="41" t="n"/>
      <c r="F27" s="41" t="n"/>
      <c r="G27" s="41" t="n"/>
      <c r="H27" s="49" t="n"/>
      <c r="I27" s="50" t="n"/>
      <c r="J27" s="50">
        <f>IFERROR(H27*I27,"")</f>
        <v/>
      </c>
      <c r="K27" s="41" t="n"/>
      <c r="L27" s="41" t="n"/>
      <c r="M27" s="41" t="n"/>
      <c r="N27" s="41" t="n"/>
    </row>
    <row r="28" ht="15" customHeight="1" s="25">
      <c r="A28" s="48" t="n"/>
      <c r="B28" s="41" t="n"/>
      <c r="C28" s="41" t="n"/>
      <c r="D28" s="41" t="n"/>
      <c r="E28" s="41" t="n"/>
      <c r="F28" s="41" t="n"/>
      <c r="G28" s="41" t="n"/>
      <c r="H28" s="49" t="n"/>
      <c r="I28" s="50" t="n"/>
      <c r="J28" s="50">
        <f>IFERROR(H28*I28,"")</f>
        <v/>
      </c>
      <c r="K28" s="41" t="n"/>
      <c r="L28" s="41" t="n"/>
      <c r="M28" s="41" t="n"/>
      <c r="N28" s="41" t="n"/>
    </row>
    <row r="29" ht="15" customHeight="1" s="25">
      <c r="A29" s="48" t="n"/>
      <c r="B29" s="41" t="n"/>
      <c r="C29" s="41" t="n"/>
      <c r="D29" s="41" t="n"/>
      <c r="E29" s="41" t="n"/>
      <c r="F29" s="41" t="n"/>
      <c r="G29" s="41" t="n"/>
      <c r="H29" s="49" t="n"/>
      <c r="I29" s="50" t="n"/>
      <c r="J29" s="50">
        <f>IFERROR(H29*I29,"")</f>
        <v/>
      </c>
      <c r="K29" s="41" t="n"/>
      <c r="L29" s="41" t="n"/>
      <c r="M29" s="41" t="n"/>
      <c r="N29" s="41" t="n"/>
    </row>
    <row r="30" ht="15" customHeight="1" s="25">
      <c r="A30" s="48" t="n"/>
      <c r="B30" s="41" t="n"/>
      <c r="C30" s="41" t="n"/>
      <c r="D30" s="41" t="n"/>
      <c r="E30" s="41" t="n"/>
      <c r="F30" s="41" t="n"/>
      <c r="G30" s="41" t="n"/>
      <c r="H30" s="49" t="n"/>
      <c r="I30" s="50" t="n"/>
      <c r="J30" s="50">
        <f>IFERROR(H30*I30,"")</f>
        <v/>
      </c>
      <c r="K30" s="41" t="n"/>
      <c r="L30" s="41" t="n"/>
      <c r="M30" s="41" t="n"/>
      <c r="N30" s="41" t="n"/>
    </row>
    <row r="31" ht="15" customHeight="1" s="25">
      <c r="A31" s="48" t="n"/>
      <c r="B31" s="41" t="n"/>
      <c r="C31" s="41" t="n"/>
      <c r="D31" s="41" t="n"/>
      <c r="E31" s="41" t="n"/>
      <c r="F31" s="41" t="n"/>
      <c r="G31" s="41" t="n"/>
      <c r="H31" s="49" t="n"/>
      <c r="I31" s="50" t="n"/>
      <c r="J31" s="50">
        <f>IFERROR(H31*I31,"")</f>
        <v/>
      </c>
      <c r="K31" s="41" t="n"/>
      <c r="L31" s="41" t="n"/>
      <c r="M31" s="41" t="n"/>
      <c r="N31" s="41" t="n"/>
    </row>
    <row r="32" ht="15" customHeight="1" s="25">
      <c r="A32" s="48" t="n"/>
      <c r="B32" s="41" t="n"/>
      <c r="C32" s="41" t="n"/>
      <c r="D32" s="41" t="n"/>
      <c r="E32" s="41" t="n"/>
      <c r="F32" s="41" t="n"/>
      <c r="G32" s="41" t="n"/>
      <c r="H32" s="49" t="n"/>
      <c r="I32" s="50" t="n"/>
      <c r="J32" s="50">
        <f>IFERROR(H32*I32,"")</f>
        <v/>
      </c>
      <c r="K32" s="41" t="n"/>
      <c r="L32" s="41" t="n"/>
      <c r="M32" s="41" t="n"/>
      <c r="N32" s="41" t="n"/>
    </row>
    <row r="33" ht="15" customHeight="1" s="25">
      <c r="A33" s="48" t="n"/>
      <c r="B33" s="41" t="n"/>
      <c r="C33" s="41" t="n"/>
      <c r="D33" s="41" t="n"/>
      <c r="E33" s="41" t="n"/>
      <c r="F33" s="41" t="n"/>
      <c r="G33" s="41" t="n"/>
      <c r="H33" s="49" t="n"/>
      <c r="I33" s="50" t="n"/>
      <c r="J33" s="50">
        <f>IFERROR(H33*I33,"")</f>
        <v/>
      </c>
      <c r="K33" s="41" t="n"/>
      <c r="L33" s="41" t="n"/>
      <c r="M33" s="41" t="n"/>
      <c r="N33" s="41" t="n"/>
    </row>
    <row r="34" ht="15" customHeight="1" s="25">
      <c r="A34" s="48" t="n"/>
      <c r="B34" s="41" t="n"/>
      <c r="C34" s="41" t="n"/>
      <c r="D34" s="41" t="n"/>
      <c r="E34" s="41" t="n"/>
      <c r="F34" s="41" t="n"/>
      <c r="G34" s="41" t="n"/>
      <c r="H34" s="49" t="n"/>
      <c r="I34" s="50" t="n"/>
      <c r="J34" s="50">
        <f>IFERROR(H34*I34,"")</f>
        <v/>
      </c>
      <c r="K34" s="41" t="n"/>
      <c r="L34" s="41" t="n"/>
      <c r="M34" s="41" t="n"/>
      <c r="N34" s="41" t="n"/>
    </row>
    <row r="35" ht="15" customHeight="1" s="25">
      <c r="A35" s="48" t="n"/>
      <c r="B35" s="41" t="n"/>
      <c r="C35" s="41" t="n"/>
      <c r="D35" s="41" t="n"/>
      <c r="E35" s="41" t="n"/>
      <c r="F35" s="41" t="n"/>
      <c r="G35" s="41" t="n"/>
      <c r="H35" s="49" t="n"/>
      <c r="I35" s="50" t="n"/>
      <c r="J35" s="50">
        <f>IFERROR(H35*I35,"")</f>
        <v/>
      </c>
      <c r="K35" s="41" t="n"/>
      <c r="L35" s="41" t="n"/>
      <c r="M35" s="41" t="n"/>
      <c r="N35" s="41" t="n"/>
    </row>
    <row r="36" ht="15" customHeight="1" s="25">
      <c r="A36" s="48" t="n"/>
      <c r="B36" s="41" t="n"/>
      <c r="C36" s="41" t="n"/>
      <c r="D36" s="41" t="n"/>
      <c r="E36" s="41" t="n"/>
      <c r="F36" s="41" t="n"/>
      <c r="G36" s="41" t="n"/>
      <c r="H36" s="49" t="n"/>
      <c r="I36" s="50" t="n"/>
      <c r="J36" s="50">
        <f>IFERROR(H36*I36,"")</f>
        <v/>
      </c>
      <c r="K36" s="41" t="n"/>
      <c r="L36" s="41" t="n"/>
      <c r="M36" s="41" t="n"/>
      <c r="N36" s="41" t="n"/>
    </row>
    <row r="37" ht="15" customHeight="1" s="25">
      <c r="A37" s="48" t="n"/>
      <c r="B37" s="41" t="n"/>
      <c r="C37" s="41" t="n"/>
      <c r="D37" s="41" t="n"/>
      <c r="E37" s="41" t="n"/>
      <c r="F37" s="41" t="n"/>
      <c r="G37" s="41" t="n"/>
      <c r="H37" s="49" t="n"/>
      <c r="I37" s="50" t="n"/>
      <c r="J37" s="50">
        <f>IFERROR(H37*I37,"")</f>
        <v/>
      </c>
      <c r="K37" s="41" t="n"/>
      <c r="L37" s="41" t="n"/>
      <c r="M37" s="41" t="n"/>
      <c r="N37" s="41" t="n"/>
    </row>
    <row r="38" ht="15" customHeight="1" s="25">
      <c r="A38" s="48" t="n"/>
      <c r="B38" s="41" t="n"/>
      <c r="C38" s="41" t="n"/>
      <c r="D38" s="41" t="n"/>
      <c r="E38" s="41" t="n"/>
      <c r="F38" s="41" t="n"/>
      <c r="G38" s="41" t="n"/>
      <c r="H38" s="49" t="n"/>
      <c r="I38" s="50" t="n"/>
      <c r="J38" s="50">
        <f>IFERROR(H38*I38,"")</f>
        <v/>
      </c>
      <c r="K38" s="41" t="n"/>
      <c r="L38" s="41" t="n"/>
      <c r="M38" s="41" t="n"/>
      <c r="N38" s="41" t="n"/>
    </row>
    <row r="39" ht="15" customHeight="1" s="25">
      <c r="A39" s="48" t="n"/>
      <c r="B39" s="41" t="n"/>
      <c r="C39" s="41" t="n"/>
      <c r="D39" s="41" t="n"/>
      <c r="E39" s="41" t="n"/>
      <c r="F39" s="41" t="n"/>
      <c r="G39" s="41" t="n"/>
      <c r="H39" s="49" t="n"/>
      <c r="I39" s="50" t="n"/>
      <c r="J39" s="50">
        <f>IFERROR(H39*I39,"")</f>
        <v/>
      </c>
      <c r="K39" s="41" t="n"/>
      <c r="L39" s="41" t="n"/>
      <c r="M39" s="41" t="n"/>
      <c r="N39" s="41" t="n"/>
    </row>
    <row r="40" ht="15" customHeight="1" s="25">
      <c r="A40" s="48" t="n"/>
      <c r="B40" s="41" t="n"/>
      <c r="C40" s="41" t="n"/>
      <c r="D40" s="41" t="n"/>
      <c r="E40" s="41" t="n"/>
      <c r="F40" s="41" t="n"/>
      <c r="G40" s="41" t="n"/>
      <c r="H40" s="49" t="n"/>
      <c r="I40" s="50" t="n"/>
      <c r="J40" s="50">
        <f>IFERROR(H40*I40,"")</f>
        <v/>
      </c>
      <c r="K40" s="41" t="n"/>
      <c r="L40" s="41" t="n"/>
      <c r="M40" s="41" t="n"/>
      <c r="N40" s="41" t="n"/>
    </row>
    <row r="41" ht="15" customHeight="1" s="25">
      <c r="A41" s="48" t="n"/>
      <c r="B41" s="41" t="n"/>
      <c r="C41" s="41" t="n"/>
      <c r="D41" s="41" t="n"/>
      <c r="E41" s="41" t="n"/>
      <c r="F41" s="41" t="n"/>
      <c r="G41" s="41" t="n"/>
      <c r="H41" s="49" t="n"/>
      <c r="I41" s="50" t="n"/>
      <c r="J41" s="50">
        <f>IFERROR(H41*I41,"")</f>
        <v/>
      </c>
      <c r="K41" s="41" t="n"/>
      <c r="L41" s="41" t="n"/>
      <c r="M41" s="41" t="n"/>
      <c r="N41" s="41" t="n"/>
    </row>
    <row r="42" ht="15" customHeight="1" s="25">
      <c r="A42" s="48" t="n"/>
      <c r="B42" s="41" t="n"/>
      <c r="C42" s="41" t="n"/>
      <c r="D42" s="41" t="n"/>
      <c r="E42" s="41" t="n"/>
      <c r="F42" s="41" t="n"/>
      <c r="G42" s="41" t="n"/>
      <c r="H42" s="49" t="n"/>
      <c r="I42" s="50" t="n"/>
      <c r="J42" s="50">
        <f>IFERROR(H42*I42,"")</f>
        <v/>
      </c>
      <c r="K42" s="41" t="n"/>
      <c r="L42" s="41" t="n"/>
      <c r="M42" s="41" t="n"/>
      <c r="N42" s="41" t="n"/>
    </row>
    <row r="43" ht="15" customHeight="1" s="25">
      <c r="A43" s="48" t="n"/>
      <c r="B43" s="41" t="n"/>
      <c r="C43" s="41" t="n"/>
      <c r="D43" s="41" t="n"/>
      <c r="E43" s="41" t="n"/>
      <c r="F43" s="41" t="n"/>
      <c r="G43" s="41" t="n"/>
      <c r="H43" s="49" t="n"/>
      <c r="I43" s="50" t="n"/>
      <c r="J43" s="50">
        <f>IFERROR(H43*I43,"")</f>
        <v/>
      </c>
      <c r="K43" s="41" t="n"/>
      <c r="L43" s="41" t="n"/>
      <c r="M43" s="41" t="n"/>
      <c r="N43" s="41" t="n"/>
    </row>
    <row r="44" ht="15" customHeight="1" s="25">
      <c r="A44" s="48" t="n"/>
      <c r="B44" s="41" t="n"/>
      <c r="C44" s="41" t="n"/>
      <c r="D44" s="41" t="n"/>
      <c r="E44" s="41" t="n"/>
      <c r="F44" s="41" t="n"/>
      <c r="G44" s="41" t="n"/>
      <c r="H44" s="49" t="n"/>
      <c r="I44" s="50" t="n"/>
      <c r="J44" s="50">
        <f>IFERROR(H44*I44,"")</f>
        <v/>
      </c>
      <c r="K44" s="41" t="n"/>
      <c r="L44" s="41" t="n"/>
      <c r="M44" s="41" t="n"/>
      <c r="N44" s="41" t="n"/>
    </row>
    <row r="45" ht="15" customHeight="1" s="25">
      <c r="A45" s="48" t="n"/>
      <c r="B45" s="41" t="n"/>
      <c r="C45" s="41" t="n"/>
      <c r="D45" s="41" t="n"/>
      <c r="E45" s="41" t="n"/>
      <c r="F45" s="41" t="n"/>
      <c r="G45" s="41" t="n"/>
      <c r="H45" s="49" t="n"/>
      <c r="I45" s="50" t="n"/>
      <c r="J45" s="50">
        <f>IFERROR(H45*I45,"")</f>
        <v/>
      </c>
      <c r="K45" s="41" t="n"/>
      <c r="L45" s="41" t="n"/>
      <c r="M45" s="41" t="n"/>
      <c r="N45" s="41" t="n"/>
    </row>
    <row r="46" ht="15" customHeight="1" s="25">
      <c r="A46" s="48" t="n"/>
      <c r="B46" s="41" t="n"/>
      <c r="C46" s="41" t="n"/>
      <c r="D46" s="41" t="n"/>
      <c r="E46" s="41" t="n"/>
      <c r="F46" s="41" t="n"/>
      <c r="G46" s="41" t="n"/>
      <c r="H46" s="49" t="n"/>
      <c r="I46" s="50" t="n"/>
      <c r="J46" s="50">
        <f>IFERROR(H46*I46,"")</f>
        <v/>
      </c>
      <c r="K46" s="41" t="n"/>
      <c r="L46" s="41" t="n"/>
      <c r="M46" s="41" t="n"/>
      <c r="N46" s="41" t="n"/>
    </row>
    <row r="47" ht="15" customHeight="1" s="25">
      <c r="A47" s="48" t="n"/>
      <c r="B47" s="41" t="n"/>
      <c r="C47" s="41" t="n"/>
      <c r="D47" s="41" t="n"/>
      <c r="E47" s="41" t="n"/>
      <c r="F47" s="41" t="n"/>
      <c r="G47" s="41" t="n"/>
      <c r="H47" s="49" t="n"/>
      <c r="I47" s="50" t="n"/>
      <c r="J47" s="50">
        <f>IFERROR(H47*I47,"")</f>
        <v/>
      </c>
      <c r="K47" s="41" t="n"/>
      <c r="L47" s="41" t="n"/>
      <c r="M47" s="41" t="n"/>
      <c r="N47" s="41" t="n"/>
    </row>
    <row r="48" ht="15" customHeight="1" s="25">
      <c r="A48" s="48" t="n"/>
      <c r="B48" s="41" t="n"/>
      <c r="C48" s="41" t="n"/>
      <c r="D48" s="41" t="n"/>
      <c r="E48" s="41" t="n"/>
      <c r="F48" s="41" t="n"/>
      <c r="G48" s="41" t="n"/>
      <c r="H48" s="49" t="n"/>
      <c r="I48" s="50" t="n"/>
      <c r="J48" s="50">
        <f>IFERROR(H48*I48,"")</f>
        <v/>
      </c>
      <c r="K48" s="41" t="n"/>
      <c r="L48" s="41" t="n"/>
      <c r="M48" s="41" t="n"/>
      <c r="N48" s="41" t="n"/>
    </row>
    <row r="49" ht="15" customHeight="1" s="25">
      <c r="A49" s="48" t="n"/>
      <c r="B49" s="41" t="n"/>
      <c r="C49" s="41" t="n"/>
      <c r="D49" s="41" t="n"/>
      <c r="E49" s="41" t="n"/>
      <c r="F49" s="41" t="n"/>
      <c r="G49" s="41" t="n"/>
      <c r="H49" s="49" t="n"/>
      <c r="I49" s="50" t="n"/>
      <c r="J49" s="50">
        <f>IFERROR(H49*I49,"")</f>
        <v/>
      </c>
      <c r="K49" s="41" t="n"/>
      <c r="L49" s="41" t="n"/>
      <c r="M49" s="41" t="n"/>
      <c r="N49" s="41" t="n"/>
    </row>
    <row r="50" ht="15" customHeight="1" s="25">
      <c r="A50" s="48" t="n"/>
      <c r="B50" s="41" t="n"/>
      <c r="C50" s="41" t="n"/>
      <c r="D50" s="41" t="n"/>
      <c r="E50" s="41" t="n"/>
      <c r="F50" s="41" t="n"/>
      <c r="G50" s="41" t="n"/>
      <c r="H50" s="49" t="n"/>
      <c r="I50" s="50" t="n"/>
      <c r="J50" s="50">
        <f>IFERROR(H50*I50,"")</f>
        <v/>
      </c>
      <c r="K50" s="41" t="n"/>
      <c r="L50" s="41" t="n"/>
      <c r="M50" s="41" t="n"/>
      <c r="N50" s="41" t="n"/>
    </row>
  </sheetData>
  <dataValidations count="2">
    <dataValidation sqref="M2:M500" showDropDown="0" showInputMessage="0" showErrorMessage="0" allowBlank="1" type="list" errorStyle="stop" operator="between">
      <formula1>"UPS,FedEx,USPS,DHL,Freight (LTL),Customer Pickup"</formula1>
      <formula2>0</formula2>
    </dataValidation>
    <dataValidation sqref="C2:C500" showDropDown="0" showInputMessage="0" showErrorMessage="0" allowBlank="1" type="list" errorStyle="stop" operator="between">
      <formula1>"Sample / FAI,Production,Reorder"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2026-04-29T05:59:33Z</dcterms:created>
  <dcterms:modified xsi:type="dcterms:W3CDTF">2026-04-29T16:38:47Z</dcterms:modified>
  <cp:revision>0</cp:revision>
</cp:coreProperties>
</file>