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COUNTIFS('New Tooling Jobs'!X13:X62,"&lt;0",'New Tooling Jobs'!E13:E62,"&lt;&gt;Completed",'New Tooling Jobs'!A13:A62,"&lt;&gt;")+COUNTIFS(Reorders!T13:T62,"&lt;0",Reorders!E13:E62,"&lt;&gt;Completed",Reorders!A13:A62,"&lt;&gt;")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IFERROR(IF(1&lt;=COUNTIFS('New Tooling Jobs'!A$13:A$62,"&lt;&gt;",'New Tooling Jobs'!E$13:E$62,"&lt;&gt;Completed"),INDEX('New Tooling Jobs'!A$13:A$62,MATCH(1,'New Tooling Jobs'!AG$13:AG$62,0)),INDEX(Reorders!A$13:A$62,MATCH(1-COUNTIFS('New Tooling Jobs'!A$13:A$62,"&lt;&gt;",'New Tooling Jobs'!E$13:E$62,"&lt;&gt;Completed"),Reorders!AC$13:AC$62,0))),"")</f>
        <v/>
      </c>
      <c r="B10" s="39">
        <f>IFERROR(IF(1&lt;=COUNTIFS('New Tooling Jobs'!A$13:A$62,"&lt;&gt;",'New Tooling Jobs'!E$13:E$62,"&lt;&gt;Completed"),"New Tooling","Reorder"),"")</f>
        <v/>
      </c>
      <c r="C10" s="39">
        <f>IFERROR(IF(1&lt;=COUNTIFS('New Tooling Jobs'!A$13:A$62,"&lt;&gt;",'New Tooling Jobs'!E$13:E$62,"&lt;&gt;Completed"),INDEX('New Tooling Jobs'!B$13:B$62,MATCH(1,'New Tooling Jobs'!AG$13:AG$62,0)),INDEX(Reorders!B$13:B$62,MATCH(1-COUNTIFS('New Tooling Jobs'!A$13:A$62,"&lt;&gt;",'New Tooling Jobs'!E$13:E$62,"&lt;&gt;Completed"),Reorders!AC$13:AC$62,0))),"")</f>
        <v/>
      </c>
      <c r="D10" s="39">
        <f>IFERROR(IF(1&lt;=COUNTIFS('New Tooling Jobs'!A$13:A$62,"&lt;&gt;",'New Tooling Jobs'!E$13:E$62,"&lt;&gt;Completed"),INDEX('New Tooling Jobs'!E$13:E$62,MATCH(1,'New Tooling Jobs'!AG$13:AG$62,0)),INDEX(Reorders!E$13:E$62,MATCH(1-COUNTIFS('New Tooling Jobs'!A$13:A$62,"&lt;&gt;",'New Tooling Jobs'!E$13:E$62,"&lt;&gt;Completed"),Reorders!AC$13:AC$62,0))),"")</f>
        <v/>
      </c>
      <c r="E10" s="39">
        <f>IFERROR(IF(1&lt;=COUNTIFS('New Tooling Jobs'!A$13:A$62,"&lt;&gt;",'New Tooling Jobs'!E$13:E$62,"&lt;&gt;Completed"),INDEX('New Tooling Jobs'!G$13:G$62,MATCH(1,'New Tooling Jobs'!AG$13:AG$62,0)),INDEX(Reorders!G$13:G$62,MATCH(1-COUNTIFS('New Tooling Jobs'!A$13:A$62,"&lt;&gt;",'New Tooling Jobs'!E$13:E$62,"&lt;&gt;Completed"),Reorders!AC$13:AC$62,0))),"")</f>
        <v/>
      </c>
      <c r="F10" s="39">
        <f>IFERROR(IF(1&lt;=COUNTIFS('New Tooling Jobs'!A$13:A$62,"&lt;&gt;",'New Tooling Jobs'!E$13:E$62,"&lt;&gt;Completed"),INDEX('New Tooling Jobs'!H$13:H$62,MATCH(1,'New Tooling Jobs'!AG$13:AG$62,0)),INDEX(Reorders!H$13:H$62,MATCH(1-COUNTIFS('New Tooling Jobs'!A$13:A$62,"&lt;&gt;",'New Tooling Jobs'!E$13:E$62,"&lt;&gt;Completed"),Reorders!AC$13:AC$62,0))),"")</f>
        <v/>
      </c>
      <c r="G10" s="39">
        <f>IFERROR(IF(1&lt;=COUNTIFS('New Tooling Jobs'!A$13:A$62,"&lt;&gt;",'New Tooling Jobs'!E$13:E$62,"&lt;&gt;Completed"),INDEX('New Tooling Jobs'!I$13:I$62,MATCH(1,'New Tooling Jobs'!AG$13:AG$62,0)),INDEX(Reorders!I$13:I$62,MATCH(1-COUNTIFS('New Tooling Jobs'!A$13:A$62,"&lt;&gt;",'New Tooling Jobs'!E$13:E$62,"&lt;&gt;Completed"),Reorders!AC$13:AC$62,0))),"")</f>
        <v/>
      </c>
    </row>
    <row r="11" ht="15" customHeight="1" s="25">
      <c r="A11" s="40">
        <f>IFERROR(IF(2&lt;=COUNTIFS('New Tooling Jobs'!A$13:A$62,"&lt;&gt;",'New Tooling Jobs'!E$13:E$62,"&lt;&gt;Completed"),INDEX('New Tooling Jobs'!A$13:A$62,MATCH(2,'New Tooling Jobs'!AG$13:AG$62,0)),INDEX(Reorders!A$13:A$62,MATCH(2-COUNTIFS('New Tooling Jobs'!A$13:A$62,"&lt;&gt;",'New Tooling Jobs'!E$13:E$62,"&lt;&gt;Completed"),Reorders!AC$13:AC$62,0))),"")</f>
        <v/>
      </c>
      <c r="B11" s="40">
        <f>IFERROR(IF(2&lt;=COUNTIFS('New Tooling Jobs'!A$13:A$62,"&lt;&gt;",'New Tooling Jobs'!E$13:E$62,"&lt;&gt;Completed"),"New Tooling","Reorder"),"")</f>
        <v/>
      </c>
      <c r="C11" s="41">
        <f>IFERROR(IF(2&lt;=COUNTIFS('New Tooling Jobs'!A$13:A$62,"&lt;&gt;",'New Tooling Jobs'!E$13:E$62,"&lt;&gt;Completed"),INDEX('New Tooling Jobs'!B$13:B$62,MATCH(2,'New Tooling Jobs'!AG$13:AG$62,0)),INDEX(Reorders!B$13:B$62,MATCH(2-COUNTIFS('New Tooling Jobs'!A$13:A$62,"&lt;&gt;",'New Tooling Jobs'!E$13:E$62,"&lt;&gt;Completed"),Reorders!AC$13:AC$62,0))),"")</f>
        <v/>
      </c>
      <c r="D11" s="41">
        <f>IFERROR(IF(2&lt;=COUNTIFS('New Tooling Jobs'!A$13:A$62,"&lt;&gt;",'New Tooling Jobs'!E$13:E$62,"&lt;&gt;Completed"),INDEX('New Tooling Jobs'!E$13:E$62,MATCH(2,'New Tooling Jobs'!AG$13:AG$62,0)),INDEX(Reorders!E$13:E$62,MATCH(2-COUNTIFS('New Tooling Jobs'!A$13:A$62,"&lt;&gt;",'New Tooling Jobs'!E$13:E$62,"&lt;&gt;Completed"),Reorders!AC$13:AC$62,0))),"")</f>
        <v/>
      </c>
      <c r="E11" s="40">
        <f>IFERROR(IF(2&lt;=COUNTIFS('New Tooling Jobs'!A$13:A$62,"&lt;&gt;",'New Tooling Jobs'!E$13:E$62,"&lt;&gt;Completed"),INDEX('New Tooling Jobs'!G$13:G$62,MATCH(2,'New Tooling Jobs'!AG$13:AG$62,0)),INDEX(Reorders!G$13:G$62,MATCH(2-COUNTIFS('New Tooling Jobs'!A$13:A$62,"&lt;&gt;",'New Tooling Jobs'!E$13:E$62,"&lt;&gt;Completed"),Reorders!AC$13:AC$62,0))),"")</f>
        <v/>
      </c>
      <c r="F11" s="40">
        <f>IFERROR(IF(2&lt;=COUNTIFS('New Tooling Jobs'!A$13:A$62,"&lt;&gt;",'New Tooling Jobs'!E$13:E$62,"&lt;&gt;Completed"),INDEX('New Tooling Jobs'!H$13:H$62,MATCH(2,'New Tooling Jobs'!AG$13:AG$62,0)),INDEX(Reorders!H$13:H$62,MATCH(2-COUNTIFS('New Tooling Jobs'!A$13:A$62,"&lt;&gt;",'New Tooling Jobs'!E$13:E$62,"&lt;&gt;Completed"),Reorders!AC$13:AC$62,0))),"")</f>
        <v/>
      </c>
      <c r="G11" s="41">
        <f>IFERROR(IF(2&lt;=COUNTIFS('New Tooling Jobs'!A$13:A$62,"&lt;&gt;",'New Tooling Jobs'!E$13:E$62,"&lt;&gt;Completed"),INDEX('New Tooling Jobs'!I$13:I$62,MATCH(2,'New Tooling Jobs'!AG$13:AG$62,0)),INDEX(Reorders!I$13:I$62,MATCH(2-COUNTIFS('New Tooling Jobs'!A$13:A$62,"&lt;&gt;",'New Tooling Jobs'!E$13:E$62,"&lt;&gt;Completed"),Reorders!AC$13:AC$62,0))),"")</f>
        <v/>
      </c>
    </row>
    <row r="12" ht="15" customHeight="1" s="25">
      <c r="A12" s="40">
        <f>IFERROR(IF(3&lt;=COUNTIFS('New Tooling Jobs'!A$13:A$62,"&lt;&gt;",'New Tooling Jobs'!E$13:E$62,"&lt;&gt;Completed"),INDEX('New Tooling Jobs'!A$13:A$62,MATCH(3,'New Tooling Jobs'!AG$13:AG$62,0)),INDEX(Reorders!A$13:A$62,MATCH(3-COUNTIFS('New Tooling Jobs'!A$13:A$62,"&lt;&gt;",'New Tooling Jobs'!E$13:E$62,"&lt;&gt;Completed"),Reorders!AC$13:AC$62,0))),"")</f>
        <v/>
      </c>
      <c r="B12" s="40">
        <f>IFERROR(IF(3&lt;=COUNTIFS('New Tooling Jobs'!A$13:A$62,"&lt;&gt;",'New Tooling Jobs'!E$13:E$62,"&lt;&gt;Completed"),"New Tooling","Reorder"),"")</f>
        <v/>
      </c>
      <c r="C12" s="41">
        <f>IFERROR(IF(3&lt;=COUNTIFS('New Tooling Jobs'!A$13:A$62,"&lt;&gt;",'New Tooling Jobs'!E$13:E$62,"&lt;&gt;Completed"),INDEX('New Tooling Jobs'!B$13:B$62,MATCH(3,'New Tooling Jobs'!AG$13:AG$62,0)),INDEX(Reorders!B$13:B$62,MATCH(3-COUNTIFS('New Tooling Jobs'!A$13:A$62,"&lt;&gt;",'New Tooling Jobs'!E$13:E$62,"&lt;&gt;Completed"),Reorders!AC$13:AC$62,0))),"")</f>
        <v/>
      </c>
      <c r="D12" s="41">
        <f>IFERROR(IF(3&lt;=COUNTIFS('New Tooling Jobs'!A$13:A$62,"&lt;&gt;",'New Tooling Jobs'!E$13:E$62,"&lt;&gt;Completed"),INDEX('New Tooling Jobs'!E$13:E$62,MATCH(3,'New Tooling Jobs'!AG$13:AG$62,0)),INDEX(Reorders!E$13:E$62,MATCH(3-COUNTIFS('New Tooling Jobs'!A$13:A$62,"&lt;&gt;",'New Tooling Jobs'!E$13:E$62,"&lt;&gt;Completed"),Reorders!AC$13:AC$62,0))),"")</f>
        <v/>
      </c>
      <c r="E12" s="40">
        <f>IFERROR(IF(3&lt;=COUNTIFS('New Tooling Jobs'!A$13:A$62,"&lt;&gt;",'New Tooling Jobs'!E$13:E$62,"&lt;&gt;Completed"),INDEX('New Tooling Jobs'!G$13:G$62,MATCH(3,'New Tooling Jobs'!AG$13:AG$62,0)),INDEX(Reorders!G$13:G$62,MATCH(3-COUNTIFS('New Tooling Jobs'!A$13:A$62,"&lt;&gt;",'New Tooling Jobs'!E$13:E$62,"&lt;&gt;Completed"),Reorders!AC$13:AC$62,0))),"")</f>
        <v/>
      </c>
      <c r="F12" s="40">
        <f>IFERROR(IF(3&lt;=COUNTIFS('New Tooling Jobs'!A$13:A$62,"&lt;&gt;",'New Tooling Jobs'!E$13:E$62,"&lt;&gt;Completed"),INDEX('New Tooling Jobs'!H$13:H$62,MATCH(3,'New Tooling Jobs'!AG$13:AG$62,0)),INDEX(Reorders!H$13:H$62,MATCH(3-COUNTIFS('New Tooling Jobs'!A$13:A$62,"&lt;&gt;",'New Tooling Jobs'!E$13:E$62,"&lt;&gt;Completed"),Reorders!AC$13:AC$62,0))),"")</f>
        <v/>
      </c>
      <c r="G12" s="41">
        <f>IFERROR(IF(3&lt;=COUNTIFS('New Tooling Jobs'!A$13:A$62,"&lt;&gt;",'New Tooling Jobs'!E$13:E$62,"&lt;&gt;Completed"),INDEX('New Tooling Jobs'!I$13:I$62,MATCH(3,'New Tooling Jobs'!AG$13:AG$62,0)),INDEX(Reorders!I$13:I$62,MATCH(3-COUNTIFS('New Tooling Jobs'!A$13:A$62,"&lt;&gt;",'New Tooling Jobs'!E$13:E$62,"&lt;&gt;Completed"),Reorders!AC$13:AC$62,0))),"")</f>
        <v/>
      </c>
    </row>
    <row r="13" ht="15" customHeight="1" s="25">
      <c r="A13" s="40">
        <f>IFERROR(IF(4&lt;=COUNTIFS('New Tooling Jobs'!A$13:A$62,"&lt;&gt;",'New Tooling Jobs'!E$13:E$62,"&lt;&gt;Completed"),INDEX('New Tooling Jobs'!A$13:A$62,MATCH(4,'New Tooling Jobs'!AG$13:AG$62,0)),INDEX(Reorders!A$13:A$62,MATCH(4-COUNTIFS('New Tooling Jobs'!A$13:A$62,"&lt;&gt;",'New Tooling Jobs'!E$13:E$62,"&lt;&gt;Completed"),Reorders!AC$13:AC$62,0))),"")</f>
        <v/>
      </c>
      <c r="B13" s="40">
        <f>IFERROR(IF(4&lt;=COUNTIFS('New Tooling Jobs'!A$13:A$62,"&lt;&gt;",'New Tooling Jobs'!E$13:E$62,"&lt;&gt;Completed"),"New Tooling","Reorder"),"")</f>
        <v/>
      </c>
      <c r="C13" s="41">
        <f>IFERROR(IF(4&lt;=COUNTIFS('New Tooling Jobs'!A$13:A$62,"&lt;&gt;",'New Tooling Jobs'!E$13:E$62,"&lt;&gt;Completed"),INDEX('New Tooling Jobs'!B$13:B$62,MATCH(4,'New Tooling Jobs'!AG$13:AG$62,0)),INDEX(Reorders!B$13:B$62,MATCH(4-COUNTIFS('New Tooling Jobs'!A$13:A$62,"&lt;&gt;",'New Tooling Jobs'!E$13:E$62,"&lt;&gt;Completed"),Reorders!AC$13:AC$62,0))),"")</f>
        <v/>
      </c>
      <c r="D13" s="41">
        <f>IFERROR(IF(4&lt;=COUNTIFS('New Tooling Jobs'!A$13:A$62,"&lt;&gt;",'New Tooling Jobs'!E$13:E$62,"&lt;&gt;Completed"),INDEX('New Tooling Jobs'!E$13:E$62,MATCH(4,'New Tooling Jobs'!AG$13:AG$62,0)),INDEX(Reorders!E$13:E$62,MATCH(4-COUNTIFS('New Tooling Jobs'!A$13:A$62,"&lt;&gt;",'New Tooling Jobs'!E$13:E$62,"&lt;&gt;Completed"),Reorders!AC$13:AC$62,0))),"")</f>
        <v/>
      </c>
      <c r="E13" s="40">
        <f>IFERROR(IF(4&lt;=COUNTIFS('New Tooling Jobs'!A$13:A$62,"&lt;&gt;",'New Tooling Jobs'!E$13:E$62,"&lt;&gt;Completed"),INDEX('New Tooling Jobs'!G$13:G$62,MATCH(4,'New Tooling Jobs'!AG$13:AG$62,0)),INDEX(Reorders!G$13:G$62,MATCH(4-COUNTIFS('New Tooling Jobs'!A$13:A$62,"&lt;&gt;",'New Tooling Jobs'!E$13:E$62,"&lt;&gt;Completed"),Reorders!AC$13:AC$62,0))),"")</f>
        <v/>
      </c>
      <c r="F13" s="40">
        <f>IFERROR(IF(4&lt;=COUNTIFS('New Tooling Jobs'!A$13:A$62,"&lt;&gt;",'New Tooling Jobs'!E$13:E$62,"&lt;&gt;Completed"),INDEX('New Tooling Jobs'!H$13:H$62,MATCH(4,'New Tooling Jobs'!AG$13:AG$62,0)),INDEX(Reorders!H$13:H$62,MATCH(4-COUNTIFS('New Tooling Jobs'!A$13:A$62,"&lt;&gt;",'New Tooling Jobs'!E$13:E$62,"&lt;&gt;Completed"),Reorders!AC$13:AC$62,0))),"")</f>
        <v/>
      </c>
      <c r="G13" s="41">
        <f>IFERROR(IF(4&lt;=COUNTIFS('New Tooling Jobs'!A$13:A$62,"&lt;&gt;",'New Tooling Jobs'!E$13:E$62,"&lt;&gt;Completed"),INDEX('New Tooling Jobs'!I$13:I$62,MATCH(4,'New Tooling Jobs'!AG$13:AG$62,0)),INDEX(Reorders!I$13:I$62,MATCH(4-COUNTIFS('New Tooling Jobs'!A$13:A$62,"&lt;&gt;",'New Tooling Jobs'!E$13:E$62,"&lt;&gt;Completed"),Reorders!AC$13:AC$62,0))),"")</f>
        <v/>
      </c>
    </row>
    <row r="14" ht="15" customHeight="1" s="25">
      <c r="A14" s="40">
        <f>IFERROR(IF(5&lt;=COUNTIFS('New Tooling Jobs'!A$13:A$62,"&lt;&gt;",'New Tooling Jobs'!E$13:E$62,"&lt;&gt;Completed"),INDEX('New Tooling Jobs'!A$13:A$62,MATCH(5,'New Tooling Jobs'!AG$13:AG$62,0)),INDEX(Reorders!A$13:A$62,MATCH(5-COUNTIFS('New Tooling Jobs'!A$13:A$62,"&lt;&gt;",'New Tooling Jobs'!E$13:E$62,"&lt;&gt;Completed"),Reorders!AC$13:AC$62,0))),"")</f>
        <v/>
      </c>
      <c r="B14" s="40">
        <f>IFERROR(IF(5&lt;=COUNTIFS('New Tooling Jobs'!A$13:A$62,"&lt;&gt;",'New Tooling Jobs'!E$13:E$62,"&lt;&gt;Completed"),"New Tooling","Reorder"),"")</f>
        <v/>
      </c>
      <c r="C14" s="41">
        <f>IFERROR(IF(5&lt;=COUNTIFS('New Tooling Jobs'!A$13:A$62,"&lt;&gt;",'New Tooling Jobs'!E$13:E$62,"&lt;&gt;Completed"),INDEX('New Tooling Jobs'!B$13:B$62,MATCH(5,'New Tooling Jobs'!AG$13:AG$62,0)),INDEX(Reorders!B$13:B$62,MATCH(5-COUNTIFS('New Tooling Jobs'!A$13:A$62,"&lt;&gt;",'New Tooling Jobs'!E$13:E$62,"&lt;&gt;Completed"),Reorders!AC$13:AC$62,0))),"")</f>
        <v/>
      </c>
      <c r="D14" s="41">
        <f>IFERROR(IF(5&lt;=COUNTIFS('New Tooling Jobs'!A$13:A$62,"&lt;&gt;",'New Tooling Jobs'!E$13:E$62,"&lt;&gt;Completed"),INDEX('New Tooling Jobs'!E$13:E$62,MATCH(5,'New Tooling Jobs'!AG$13:AG$62,0)),INDEX(Reorders!E$13:E$62,MATCH(5-COUNTIFS('New Tooling Jobs'!A$13:A$62,"&lt;&gt;",'New Tooling Jobs'!E$13:E$62,"&lt;&gt;Completed"),Reorders!AC$13:AC$62,0))),"")</f>
        <v/>
      </c>
      <c r="E14" s="40">
        <f>IFERROR(IF(5&lt;=COUNTIFS('New Tooling Jobs'!A$13:A$62,"&lt;&gt;",'New Tooling Jobs'!E$13:E$62,"&lt;&gt;Completed"),INDEX('New Tooling Jobs'!G$13:G$62,MATCH(5,'New Tooling Jobs'!AG$13:AG$62,0)),INDEX(Reorders!G$13:G$62,MATCH(5-COUNTIFS('New Tooling Jobs'!A$13:A$62,"&lt;&gt;",'New Tooling Jobs'!E$13:E$62,"&lt;&gt;Completed"),Reorders!AC$13:AC$62,0))),"")</f>
        <v/>
      </c>
      <c r="F14" s="40">
        <f>IFERROR(IF(5&lt;=COUNTIFS('New Tooling Jobs'!A$13:A$62,"&lt;&gt;",'New Tooling Jobs'!E$13:E$62,"&lt;&gt;Completed"),INDEX('New Tooling Jobs'!H$13:H$62,MATCH(5,'New Tooling Jobs'!AG$13:AG$62,0)),INDEX(Reorders!H$13:H$62,MATCH(5-COUNTIFS('New Tooling Jobs'!A$13:A$62,"&lt;&gt;",'New Tooling Jobs'!E$13:E$62,"&lt;&gt;Completed"),Reorders!AC$13:AC$62,0))),"")</f>
        <v/>
      </c>
      <c r="G14" s="41">
        <f>IFERROR(IF(5&lt;=COUNTIFS('New Tooling Jobs'!A$13:A$62,"&lt;&gt;",'New Tooling Jobs'!E$13:E$62,"&lt;&gt;Completed"),INDEX('New Tooling Jobs'!I$13:I$62,MATCH(5,'New Tooling Jobs'!AG$13:AG$62,0)),INDEX(Reorders!I$13:I$62,MATCH(5-COUNTIFS('New Tooling Jobs'!A$13:A$62,"&lt;&gt;",'New Tooling Jobs'!E$13:E$62,"&lt;&gt;Completed"),Reorders!AC$13:AC$62,0))),"")</f>
        <v/>
      </c>
    </row>
    <row r="15" ht="15" customHeight="1" s="25">
      <c r="A15" s="40">
        <f>IFERROR(IF(6&lt;=COUNTIFS('New Tooling Jobs'!A$13:A$62,"&lt;&gt;",'New Tooling Jobs'!E$13:E$62,"&lt;&gt;Completed"),INDEX('New Tooling Jobs'!A$13:A$62,MATCH(6,'New Tooling Jobs'!AG$13:AG$62,0)),INDEX(Reorders!A$13:A$62,MATCH(6-COUNTIFS('New Tooling Jobs'!A$13:A$62,"&lt;&gt;",'New Tooling Jobs'!E$13:E$62,"&lt;&gt;Completed"),Reorders!AC$13:AC$62,0))),"")</f>
        <v/>
      </c>
      <c r="B15" s="40">
        <f>IFERROR(IF(6&lt;=COUNTIFS('New Tooling Jobs'!A$13:A$62,"&lt;&gt;",'New Tooling Jobs'!E$13:E$62,"&lt;&gt;Completed"),"New Tooling","Reorder"),"")</f>
        <v/>
      </c>
      <c r="C15" s="41">
        <f>IFERROR(IF(6&lt;=COUNTIFS('New Tooling Jobs'!A$13:A$62,"&lt;&gt;",'New Tooling Jobs'!E$13:E$62,"&lt;&gt;Completed"),INDEX('New Tooling Jobs'!B$13:B$62,MATCH(6,'New Tooling Jobs'!AG$13:AG$62,0)),INDEX(Reorders!B$13:B$62,MATCH(6-COUNTIFS('New Tooling Jobs'!A$13:A$62,"&lt;&gt;",'New Tooling Jobs'!E$13:E$62,"&lt;&gt;Completed"),Reorders!AC$13:AC$62,0))),"")</f>
        <v/>
      </c>
      <c r="D15" s="41">
        <f>IFERROR(IF(6&lt;=COUNTIFS('New Tooling Jobs'!A$13:A$62,"&lt;&gt;",'New Tooling Jobs'!E$13:E$62,"&lt;&gt;Completed"),INDEX('New Tooling Jobs'!E$13:E$62,MATCH(6,'New Tooling Jobs'!AG$13:AG$62,0)),INDEX(Reorders!E$13:E$62,MATCH(6-COUNTIFS('New Tooling Jobs'!A$13:A$62,"&lt;&gt;",'New Tooling Jobs'!E$13:E$62,"&lt;&gt;Completed"),Reorders!AC$13:AC$62,0))),"")</f>
        <v/>
      </c>
      <c r="E15" s="40">
        <f>IFERROR(IF(6&lt;=COUNTIFS('New Tooling Jobs'!A$13:A$62,"&lt;&gt;",'New Tooling Jobs'!E$13:E$62,"&lt;&gt;Completed"),INDEX('New Tooling Jobs'!G$13:G$62,MATCH(6,'New Tooling Jobs'!AG$13:AG$62,0)),INDEX(Reorders!G$13:G$62,MATCH(6-COUNTIFS('New Tooling Jobs'!A$13:A$62,"&lt;&gt;",'New Tooling Jobs'!E$13:E$62,"&lt;&gt;Completed"),Reorders!AC$13:AC$62,0))),"")</f>
        <v/>
      </c>
      <c r="F15" s="40">
        <f>IFERROR(IF(6&lt;=COUNTIFS('New Tooling Jobs'!A$13:A$62,"&lt;&gt;",'New Tooling Jobs'!E$13:E$62,"&lt;&gt;Completed"),INDEX('New Tooling Jobs'!H$13:H$62,MATCH(6,'New Tooling Jobs'!AG$13:AG$62,0)),INDEX(Reorders!H$13:H$62,MATCH(6-COUNTIFS('New Tooling Jobs'!A$13:A$62,"&lt;&gt;",'New Tooling Jobs'!E$13:E$62,"&lt;&gt;Completed"),Reorders!AC$13:AC$62,0))),"")</f>
        <v/>
      </c>
      <c r="G15" s="41">
        <f>IFERROR(IF(6&lt;=COUNTIFS('New Tooling Jobs'!A$13:A$62,"&lt;&gt;",'New Tooling Jobs'!E$13:E$62,"&lt;&gt;Completed"),INDEX('New Tooling Jobs'!I$13:I$62,MATCH(6,'New Tooling Jobs'!AG$13:AG$62,0)),INDEX(Reorders!I$13:I$62,MATCH(6-COUNTIFS('New Tooling Jobs'!A$13:A$62,"&lt;&gt;",'New Tooling Jobs'!E$13:E$62,"&lt;&gt;Completed"),Reorders!AC$13:AC$62,0))),"")</f>
        <v/>
      </c>
    </row>
    <row r="16" ht="15" customHeight="1" s="25">
      <c r="A16" s="40">
        <f>IFERROR(IF(7&lt;=COUNTIFS('New Tooling Jobs'!A$13:A$62,"&lt;&gt;",'New Tooling Jobs'!E$13:E$62,"&lt;&gt;Completed"),INDEX('New Tooling Jobs'!A$13:A$62,MATCH(7,'New Tooling Jobs'!AG$13:AG$62,0)),INDEX(Reorders!A$13:A$62,MATCH(7-COUNTIFS('New Tooling Jobs'!A$13:A$62,"&lt;&gt;",'New Tooling Jobs'!E$13:E$62,"&lt;&gt;Completed"),Reorders!AC$13:AC$62,0))),"")</f>
        <v/>
      </c>
      <c r="B16" s="40">
        <f>IFERROR(IF(7&lt;=COUNTIFS('New Tooling Jobs'!A$13:A$62,"&lt;&gt;",'New Tooling Jobs'!E$13:E$62,"&lt;&gt;Completed"),"New Tooling","Reorder"),"")</f>
        <v/>
      </c>
      <c r="C16" s="41">
        <f>IFERROR(IF(7&lt;=COUNTIFS('New Tooling Jobs'!A$13:A$62,"&lt;&gt;",'New Tooling Jobs'!E$13:E$62,"&lt;&gt;Completed"),INDEX('New Tooling Jobs'!B$13:B$62,MATCH(7,'New Tooling Jobs'!AG$13:AG$62,0)),INDEX(Reorders!B$13:B$62,MATCH(7-COUNTIFS('New Tooling Jobs'!A$13:A$62,"&lt;&gt;",'New Tooling Jobs'!E$13:E$62,"&lt;&gt;Completed"),Reorders!AC$13:AC$62,0))),"")</f>
        <v/>
      </c>
      <c r="D16" s="41">
        <f>IFERROR(IF(7&lt;=COUNTIFS('New Tooling Jobs'!A$13:A$62,"&lt;&gt;",'New Tooling Jobs'!E$13:E$62,"&lt;&gt;Completed"),INDEX('New Tooling Jobs'!E$13:E$62,MATCH(7,'New Tooling Jobs'!AG$13:AG$62,0)),INDEX(Reorders!E$13:E$62,MATCH(7-COUNTIFS('New Tooling Jobs'!A$13:A$62,"&lt;&gt;",'New Tooling Jobs'!E$13:E$62,"&lt;&gt;Completed"),Reorders!AC$13:AC$62,0))),"")</f>
        <v/>
      </c>
      <c r="E16" s="40">
        <f>IFERROR(IF(7&lt;=COUNTIFS('New Tooling Jobs'!A$13:A$62,"&lt;&gt;",'New Tooling Jobs'!E$13:E$62,"&lt;&gt;Completed"),INDEX('New Tooling Jobs'!G$13:G$62,MATCH(7,'New Tooling Jobs'!AG$13:AG$62,0)),INDEX(Reorders!G$13:G$62,MATCH(7-COUNTIFS('New Tooling Jobs'!A$13:A$62,"&lt;&gt;",'New Tooling Jobs'!E$13:E$62,"&lt;&gt;Completed"),Reorders!AC$13:AC$62,0))),"")</f>
        <v/>
      </c>
      <c r="F16" s="40">
        <f>IFERROR(IF(7&lt;=COUNTIFS('New Tooling Jobs'!A$13:A$62,"&lt;&gt;",'New Tooling Jobs'!E$13:E$62,"&lt;&gt;Completed"),INDEX('New Tooling Jobs'!H$13:H$62,MATCH(7,'New Tooling Jobs'!AG$13:AG$62,0)),INDEX(Reorders!H$13:H$62,MATCH(7-COUNTIFS('New Tooling Jobs'!A$13:A$62,"&lt;&gt;",'New Tooling Jobs'!E$13:E$62,"&lt;&gt;Completed"),Reorders!AC$13:AC$62,0))),"")</f>
        <v/>
      </c>
      <c r="G16" s="41">
        <f>IFERROR(IF(7&lt;=COUNTIFS('New Tooling Jobs'!A$13:A$62,"&lt;&gt;",'New Tooling Jobs'!E$13:E$62,"&lt;&gt;Completed"),INDEX('New Tooling Jobs'!I$13:I$62,MATCH(7,'New Tooling Jobs'!AG$13:AG$62,0)),INDEX(Reorders!I$13:I$62,MATCH(7-COUNTIFS('New Tooling Jobs'!A$13:A$62,"&lt;&gt;",'New Tooling Jobs'!E$13:E$62,"&lt;&gt;Completed"),Reorders!AC$13:AC$62,0))),"")</f>
        <v/>
      </c>
    </row>
    <row r="17" ht="15" customHeight="1" s="25">
      <c r="A17" s="40">
        <f>IFERROR(IF(8&lt;=COUNTIFS('New Tooling Jobs'!A$13:A$62,"&lt;&gt;",'New Tooling Jobs'!E$13:E$62,"&lt;&gt;Completed"),INDEX('New Tooling Jobs'!A$13:A$62,MATCH(8,'New Tooling Jobs'!AG$13:AG$62,0)),INDEX(Reorders!A$13:A$62,MATCH(8-COUNTIFS('New Tooling Jobs'!A$13:A$62,"&lt;&gt;",'New Tooling Jobs'!E$13:E$62,"&lt;&gt;Completed"),Reorders!AC$13:AC$62,0))),"")</f>
        <v/>
      </c>
      <c r="B17" s="40">
        <f>IFERROR(IF(8&lt;=COUNTIFS('New Tooling Jobs'!A$13:A$62,"&lt;&gt;",'New Tooling Jobs'!E$13:E$62,"&lt;&gt;Completed"),"New Tooling","Reorder"),"")</f>
        <v/>
      </c>
      <c r="C17" s="41">
        <f>IFERROR(IF(8&lt;=COUNTIFS('New Tooling Jobs'!A$13:A$62,"&lt;&gt;",'New Tooling Jobs'!E$13:E$62,"&lt;&gt;Completed"),INDEX('New Tooling Jobs'!B$13:B$62,MATCH(8,'New Tooling Jobs'!AG$13:AG$62,0)),INDEX(Reorders!B$13:B$62,MATCH(8-COUNTIFS('New Tooling Jobs'!A$13:A$62,"&lt;&gt;",'New Tooling Jobs'!E$13:E$62,"&lt;&gt;Completed"),Reorders!AC$13:AC$62,0))),"")</f>
        <v/>
      </c>
      <c r="D17" s="41">
        <f>IFERROR(IF(8&lt;=COUNTIFS('New Tooling Jobs'!A$13:A$62,"&lt;&gt;",'New Tooling Jobs'!E$13:E$62,"&lt;&gt;Completed"),INDEX('New Tooling Jobs'!E$13:E$62,MATCH(8,'New Tooling Jobs'!AG$13:AG$62,0)),INDEX(Reorders!E$13:E$62,MATCH(8-COUNTIFS('New Tooling Jobs'!A$13:A$62,"&lt;&gt;",'New Tooling Jobs'!E$13:E$62,"&lt;&gt;Completed"),Reorders!AC$13:AC$62,0))),"")</f>
        <v/>
      </c>
      <c r="E17" s="40">
        <f>IFERROR(IF(8&lt;=COUNTIFS('New Tooling Jobs'!A$13:A$62,"&lt;&gt;",'New Tooling Jobs'!E$13:E$62,"&lt;&gt;Completed"),INDEX('New Tooling Jobs'!G$13:G$62,MATCH(8,'New Tooling Jobs'!AG$13:AG$62,0)),INDEX(Reorders!G$13:G$62,MATCH(8-COUNTIFS('New Tooling Jobs'!A$13:A$62,"&lt;&gt;",'New Tooling Jobs'!E$13:E$62,"&lt;&gt;Completed"),Reorders!AC$13:AC$62,0))),"")</f>
        <v/>
      </c>
      <c r="F17" s="40">
        <f>IFERROR(IF(8&lt;=COUNTIFS('New Tooling Jobs'!A$13:A$62,"&lt;&gt;",'New Tooling Jobs'!E$13:E$62,"&lt;&gt;Completed"),INDEX('New Tooling Jobs'!H$13:H$62,MATCH(8,'New Tooling Jobs'!AG$13:AG$62,0)),INDEX(Reorders!H$13:H$62,MATCH(8-COUNTIFS('New Tooling Jobs'!A$13:A$62,"&lt;&gt;",'New Tooling Jobs'!E$13:E$62,"&lt;&gt;Completed"),Reorders!AC$13:AC$62,0))),"")</f>
        <v/>
      </c>
      <c r="G17" s="41">
        <f>IFERROR(IF(8&lt;=COUNTIFS('New Tooling Jobs'!A$13:A$62,"&lt;&gt;",'New Tooling Jobs'!E$13:E$62,"&lt;&gt;Completed"),INDEX('New Tooling Jobs'!I$13:I$62,MATCH(8,'New Tooling Jobs'!AG$13:AG$62,0)),INDEX(Reorders!I$13:I$62,MATCH(8-COUNTIFS('New Tooling Jobs'!A$13:A$62,"&lt;&gt;",'New Tooling Jobs'!E$13:E$62,"&lt;&gt;Completed"),Reorders!AC$13:AC$62,0))),"")</f>
        <v/>
      </c>
    </row>
    <row r="18" ht="15" customHeight="1" s="25">
      <c r="A18" s="40">
        <f>IFERROR(IF(9&lt;=COUNTIFS('New Tooling Jobs'!A$13:A$62,"&lt;&gt;",'New Tooling Jobs'!E$13:E$62,"&lt;&gt;Completed"),INDEX('New Tooling Jobs'!A$13:A$62,MATCH(9,'New Tooling Jobs'!AG$13:AG$62,0)),INDEX(Reorders!A$13:A$62,MATCH(9-COUNTIFS('New Tooling Jobs'!A$13:A$62,"&lt;&gt;",'New Tooling Jobs'!E$13:E$62,"&lt;&gt;Completed"),Reorders!AC$13:AC$62,0))),"")</f>
        <v/>
      </c>
      <c r="B18" s="40">
        <f>IFERROR(IF(9&lt;=COUNTIFS('New Tooling Jobs'!A$13:A$62,"&lt;&gt;",'New Tooling Jobs'!E$13:E$62,"&lt;&gt;Completed"),"New Tooling","Reorder"),"")</f>
        <v/>
      </c>
      <c r="C18" s="41">
        <f>IFERROR(IF(9&lt;=COUNTIFS('New Tooling Jobs'!A$13:A$62,"&lt;&gt;",'New Tooling Jobs'!E$13:E$62,"&lt;&gt;Completed"),INDEX('New Tooling Jobs'!B$13:B$62,MATCH(9,'New Tooling Jobs'!AG$13:AG$62,0)),INDEX(Reorders!B$13:B$62,MATCH(9-COUNTIFS('New Tooling Jobs'!A$13:A$62,"&lt;&gt;",'New Tooling Jobs'!E$13:E$62,"&lt;&gt;Completed"),Reorders!AC$13:AC$62,0))),"")</f>
        <v/>
      </c>
      <c r="D18" s="41">
        <f>IFERROR(IF(9&lt;=COUNTIFS('New Tooling Jobs'!A$13:A$62,"&lt;&gt;",'New Tooling Jobs'!E$13:E$62,"&lt;&gt;Completed"),INDEX('New Tooling Jobs'!E$13:E$62,MATCH(9,'New Tooling Jobs'!AG$13:AG$62,0)),INDEX(Reorders!E$13:E$62,MATCH(9-COUNTIFS('New Tooling Jobs'!A$13:A$62,"&lt;&gt;",'New Tooling Jobs'!E$13:E$62,"&lt;&gt;Completed"),Reorders!AC$13:AC$62,0))),"")</f>
        <v/>
      </c>
      <c r="E18" s="40">
        <f>IFERROR(IF(9&lt;=COUNTIFS('New Tooling Jobs'!A$13:A$62,"&lt;&gt;",'New Tooling Jobs'!E$13:E$62,"&lt;&gt;Completed"),INDEX('New Tooling Jobs'!G$13:G$62,MATCH(9,'New Tooling Jobs'!AG$13:AG$62,0)),INDEX(Reorders!G$13:G$62,MATCH(9-COUNTIFS('New Tooling Jobs'!A$13:A$62,"&lt;&gt;",'New Tooling Jobs'!E$13:E$62,"&lt;&gt;Completed"),Reorders!AC$13:AC$62,0))),"")</f>
        <v/>
      </c>
      <c r="F18" s="40">
        <f>IFERROR(IF(9&lt;=COUNTIFS('New Tooling Jobs'!A$13:A$62,"&lt;&gt;",'New Tooling Jobs'!E$13:E$62,"&lt;&gt;Completed"),INDEX('New Tooling Jobs'!H$13:H$62,MATCH(9,'New Tooling Jobs'!AG$13:AG$62,0)),INDEX(Reorders!H$13:H$62,MATCH(9-COUNTIFS('New Tooling Jobs'!A$13:A$62,"&lt;&gt;",'New Tooling Jobs'!E$13:E$62,"&lt;&gt;Completed"),Reorders!AC$13:AC$62,0))),"")</f>
        <v/>
      </c>
      <c r="G18" s="41">
        <f>IFERROR(IF(9&lt;=COUNTIFS('New Tooling Jobs'!A$13:A$62,"&lt;&gt;",'New Tooling Jobs'!E$13:E$62,"&lt;&gt;Completed"),INDEX('New Tooling Jobs'!I$13:I$62,MATCH(9,'New Tooling Jobs'!AG$13:AG$62,0)),INDEX(Reorders!I$13:I$62,MATCH(9-COUNTIFS('New Tooling Jobs'!A$13:A$62,"&lt;&gt;",'New Tooling Jobs'!E$13:E$62,"&lt;&gt;Completed"),Reorders!AC$13:AC$62,0))),"")</f>
        <v/>
      </c>
    </row>
    <row r="19" ht="15" customHeight="1" s="25">
      <c r="A19" s="40">
        <f>IFERROR(IF(10&lt;=COUNTIFS('New Tooling Jobs'!A$13:A$62,"&lt;&gt;",'New Tooling Jobs'!E$13:E$62,"&lt;&gt;Completed"),INDEX('New Tooling Jobs'!A$13:A$62,MATCH(10,'New Tooling Jobs'!AG$13:AG$62,0)),INDEX(Reorders!A$13:A$62,MATCH(10-COUNTIFS('New Tooling Jobs'!A$13:A$62,"&lt;&gt;",'New Tooling Jobs'!E$13:E$62,"&lt;&gt;Completed"),Reorders!AC$13:AC$62,0))),"")</f>
        <v/>
      </c>
      <c r="B19" s="40">
        <f>IFERROR(IF(10&lt;=COUNTIFS('New Tooling Jobs'!A$13:A$62,"&lt;&gt;",'New Tooling Jobs'!E$13:E$62,"&lt;&gt;Completed"),"New Tooling","Reorder"),"")</f>
        <v/>
      </c>
      <c r="C19" s="41">
        <f>IFERROR(IF(10&lt;=COUNTIFS('New Tooling Jobs'!A$13:A$62,"&lt;&gt;",'New Tooling Jobs'!E$13:E$62,"&lt;&gt;Completed"),INDEX('New Tooling Jobs'!B$13:B$62,MATCH(10,'New Tooling Jobs'!AG$13:AG$62,0)),INDEX(Reorders!B$13:B$62,MATCH(10-COUNTIFS('New Tooling Jobs'!A$13:A$62,"&lt;&gt;",'New Tooling Jobs'!E$13:E$62,"&lt;&gt;Completed"),Reorders!AC$13:AC$62,0))),"")</f>
        <v/>
      </c>
      <c r="D19" s="41">
        <f>IFERROR(IF(10&lt;=COUNTIFS('New Tooling Jobs'!A$13:A$62,"&lt;&gt;",'New Tooling Jobs'!E$13:E$62,"&lt;&gt;Completed"),INDEX('New Tooling Jobs'!E$13:E$62,MATCH(10,'New Tooling Jobs'!AG$13:AG$62,0)),INDEX(Reorders!E$13:E$62,MATCH(10-COUNTIFS('New Tooling Jobs'!A$13:A$62,"&lt;&gt;",'New Tooling Jobs'!E$13:E$62,"&lt;&gt;Completed"),Reorders!AC$13:AC$62,0))),"")</f>
        <v/>
      </c>
      <c r="E19" s="40">
        <f>IFERROR(IF(10&lt;=COUNTIFS('New Tooling Jobs'!A$13:A$62,"&lt;&gt;",'New Tooling Jobs'!E$13:E$62,"&lt;&gt;Completed"),INDEX('New Tooling Jobs'!G$13:G$62,MATCH(10,'New Tooling Jobs'!AG$13:AG$62,0)),INDEX(Reorders!G$13:G$62,MATCH(10-COUNTIFS('New Tooling Jobs'!A$13:A$62,"&lt;&gt;",'New Tooling Jobs'!E$13:E$62,"&lt;&gt;Completed"),Reorders!AC$13:AC$62,0))),"")</f>
        <v/>
      </c>
      <c r="F19" s="40">
        <f>IFERROR(IF(10&lt;=COUNTIFS('New Tooling Jobs'!A$13:A$62,"&lt;&gt;",'New Tooling Jobs'!E$13:E$62,"&lt;&gt;Completed"),INDEX('New Tooling Jobs'!H$13:H$62,MATCH(10,'New Tooling Jobs'!AG$13:AG$62,0)),INDEX(Reorders!H$13:H$62,MATCH(10-COUNTIFS('New Tooling Jobs'!A$13:A$62,"&lt;&gt;",'New Tooling Jobs'!E$13:E$62,"&lt;&gt;Completed"),Reorders!AC$13:AC$62,0))),"")</f>
        <v/>
      </c>
      <c r="G19" s="41">
        <f>IFERROR(IF(10&lt;=COUNTIFS('New Tooling Jobs'!A$13:A$62,"&lt;&gt;",'New Tooling Jobs'!E$13:E$62,"&lt;&gt;Completed"),INDEX('New Tooling Jobs'!I$13:I$62,MATCH(10,'New Tooling Jobs'!AG$13:AG$62,0)),INDEX(Reorders!I$13:I$62,MATCH(10-COUNTIFS('New Tooling Jobs'!A$13:A$62,"&lt;&gt;",'New Tooling Jobs'!E$13:E$62,"&lt;&gt;Completed"),Reorders!AC$13:AC$62,0))),"")</f>
        <v/>
      </c>
    </row>
    <row r="20" ht="15" customHeight="1" s="25">
      <c r="A20" s="40">
        <f>IFERROR(IF(11&lt;=COUNTIFS('New Tooling Jobs'!A$13:A$62,"&lt;&gt;",'New Tooling Jobs'!E$13:E$62,"&lt;&gt;Completed"),INDEX('New Tooling Jobs'!A$13:A$62,MATCH(11,'New Tooling Jobs'!AG$13:AG$62,0)),INDEX(Reorders!A$13:A$62,MATCH(11-COUNTIFS('New Tooling Jobs'!A$13:A$62,"&lt;&gt;",'New Tooling Jobs'!E$13:E$62,"&lt;&gt;Completed"),Reorders!AC$13:AC$62,0))),"")</f>
        <v/>
      </c>
      <c r="B20" s="40">
        <f>IFERROR(IF(11&lt;=COUNTIFS('New Tooling Jobs'!A$13:A$62,"&lt;&gt;",'New Tooling Jobs'!E$13:E$62,"&lt;&gt;Completed"),"New Tooling","Reorder"),"")</f>
        <v/>
      </c>
      <c r="C20" s="41">
        <f>IFERROR(IF(11&lt;=COUNTIFS('New Tooling Jobs'!A$13:A$62,"&lt;&gt;",'New Tooling Jobs'!E$13:E$62,"&lt;&gt;Completed"),INDEX('New Tooling Jobs'!B$13:B$62,MATCH(11,'New Tooling Jobs'!AG$13:AG$62,0)),INDEX(Reorders!B$13:B$62,MATCH(11-COUNTIFS('New Tooling Jobs'!A$13:A$62,"&lt;&gt;",'New Tooling Jobs'!E$13:E$62,"&lt;&gt;Completed"),Reorders!AC$13:AC$62,0))),"")</f>
        <v/>
      </c>
      <c r="D20" s="41">
        <f>IFERROR(IF(11&lt;=COUNTIFS('New Tooling Jobs'!A$13:A$62,"&lt;&gt;",'New Tooling Jobs'!E$13:E$62,"&lt;&gt;Completed"),INDEX('New Tooling Jobs'!E$13:E$62,MATCH(11,'New Tooling Jobs'!AG$13:AG$62,0)),INDEX(Reorders!E$13:E$62,MATCH(11-COUNTIFS('New Tooling Jobs'!A$13:A$62,"&lt;&gt;",'New Tooling Jobs'!E$13:E$62,"&lt;&gt;Completed"),Reorders!AC$13:AC$62,0))),"")</f>
        <v/>
      </c>
      <c r="E20" s="40">
        <f>IFERROR(IF(11&lt;=COUNTIFS('New Tooling Jobs'!A$13:A$62,"&lt;&gt;",'New Tooling Jobs'!E$13:E$62,"&lt;&gt;Completed"),INDEX('New Tooling Jobs'!G$13:G$62,MATCH(11,'New Tooling Jobs'!AG$13:AG$62,0)),INDEX(Reorders!G$13:G$62,MATCH(11-COUNTIFS('New Tooling Jobs'!A$13:A$62,"&lt;&gt;",'New Tooling Jobs'!E$13:E$62,"&lt;&gt;Completed"),Reorders!AC$13:AC$62,0))),"")</f>
        <v/>
      </c>
      <c r="F20" s="40">
        <f>IFERROR(IF(11&lt;=COUNTIFS('New Tooling Jobs'!A$13:A$62,"&lt;&gt;",'New Tooling Jobs'!E$13:E$62,"&lt;&gt;Completed"),INDEX('New Tooling Jobs'!H$13:H$62,MATCH(11,'New Tooling Jobs'!AG$13:AG$62,0)),INDEX(Reorders!H$13:H$62,MATCH(11-COUNTIFS('New Tooling Jobs'!A$13:A$62,"&lt;&gt;",'New Tooling Jobs'!E$13:E$62,"&lt;&gt;Completed"),Reorders!AC$13:AC$62,0))),"")</f>
        <v/>
      </c>
      <c r="G20" s="41">
        <f>IFERROR(IF(11&lt;=COUNTIFS('New Tooling Jobs'!A$13:A$62,"&lt;&gt;",'New Tooling Jobs'!E$13:E$62,"&lt;&gt;Completed"),INDEX('New Tooling Jobs'!I$13:I$62,MATCH(11,'New Tooling Jobs'!AG$13:AG$62,0)),INDEX(Reorders!I$13:I$62,MATCH(11-COUNTIFS('New Tooling Jobs'!A$13:A$62,"&lt;&gt;",'New Tooling Jobs'!E$13:E$62,"&lt;&gt;Completed"),Reorders!AC$13:AC$62,0))),"")</f>
        <v/>
      </c>
    </row>
    <row r="21" ht="15" customHeight="1" s="25">
      <c r="A21" s="40">
        <f>IFERROR(IF(12&lt;=COUNTIFS('New Tooling Jobs'!A$13:A$62,"&lt;&gt;",'New Tooling Jobs'!E$13:E$62,"&lt;&gt;Completed"),INDEX('New Tooling Jobs'!A$13:A$62,MATCH(12,'New Tooling Jobs'!AG$13:AG$62,0)),INDEX(Reorders!A$13:A$62,MATCH(12-COUNTIFS('New Tooling Jobs'!A$13:A$62,"&lt;&gt;",'New Tooling Jobs'!E$13:E$62,"&lt;&gt;Completed"),Reorders!AC$13:AC$62,0))),"")</f>
        <v/>
      </c>
      <c r="B21" s="40">
        <f>IFERROR(IF(12&lt;=COUNTIFS('New Tooling Jobs'!A$13:A$62,"&lt;&gt;",'New Tooling Jobs'!E$13:E$62,"&lt;&gt;Completed"),"New Tooling","Reorder"),"")</f>
        <v/>
      </c>
      <c r="C21" s="41">
        <f>IFERROR(IF(12&lt;=COUNTIFS('New Tooling Jobs'!A$13:A$62,"&lt;&gt;",'New Tooling Jobs'!E$13:E$62,"&lt;&gt;Completed"),INDEX('New Tooling Jobs'!B$13:B$62,MATCH(12,'New Tooling Jobs'!AG$13:AG$62,0)),INDEX(Reorders!B$13:B$62,MATCH(12-COUNTIFS('New Tooling Jobs'!A$13:A$62,"&lt;&gt;",'New Tooling Jobs'!E$13:E$62,"&lt;&gt;Completed"),Reorders!AC$13:AC$62,0))),"")</f>
        <v/>
      </c>
      <c r="D21" s="41">
        <f>IFERROR(IF(12&lt;=COUNTIFS('New Tooling Jobs'!A$13:A$62,"&lt;&gt;",'New Tooling Jobs'!E$13:E$62,"&lt;&gt;Completed"),INDEX('New Tooling Jobs'!E$13:E$62,MATCH(12,'New Tooling Jobs'!AG$13:AG$62,0)),INDEX(Reorders!E$13:E$62,MATCH(12-COUNTIFS('New Tooling Jobs'!A$13:A$62,"&lt;&gt;",'New Tooling Jobs'!E$13:E$62,"&lt;&gt;Completed"),Reorders!AC$13:AC$62,0))),"")</f>
        <v/>
      </c>
      <c r="E21" s="40">
        <f>IFERROR(IF(12&lt;=COUNTIFS('New Tooling Jobs'!A$13:A$62,"&lt;&gt;",'New Tooling Jobs'!E$13:E$62,"&lt;&gt;Completed"),INDEX('New Tooling Jobs'!G$13:G$62,MATCH(12,'New Tooling Jobs'!AG$13:AG$62,0)),INDEX(Reorders!G$13:G$62,MATCH(12-COUNTIFS('New Tooling Jobs'!A$13:A$62,"&lt;&gt;",'New Tooling Jobs'!E$13:E$62,"&lt;&gt;Completed"),Reorders!AC$13:AC$62,0))),"")</f>
        <v/>
      </c>
      <c r="F21" s="40">
        <f>IFERROR(IF(12&lt;=COUNTIFS('New Tooling Jobs'!A$13:A$62,"&lt;&gt;",'New Tooling Jobs'!E$13:E$62,"&lt;&gt;Completed"),INDEX('New Tooling Jobs'!H$13:H$62,MATCH(12,'New Tooling Jobs'!AG$13:AG$62,0)),INDEX(Reorders!H$13:H$62,MATCH(12-COUNTIFS('New Tooling Jobs'!A$13:A$62,"&lt;&gt;",'New Tooling Jobs'!E$13:E$62,"&lt;&gt;Completed"),Reorders!AC$13:AC$62,0))),"")</f>
        <v/>
      </c>
      <c r="G21" s="41">
        <f>IFERROR(IF(12&lt;=COUNTIFS('New Tooling Jobs'!A$13:A$62,"&lt;&gt;",'New Tooling Jobs'!E$13:E$62,"&lt;&gt;Completed"),INDEX('New Tooling Jobs'!I$13:I$62,MATCH(12,'New Tooling Jobs'!AG$13:AG$62,0)),INDEX(Reorders!I$13:I$62,MATCH(12-COUNTIFS('New Tooling Jobs'!A$13:A$62,"&lt;&gt;",'New Tooling Jobs'!E$13:E$62,"&lt;&gt;Completed"),Reorders!AC$13:AC$62,0))),"")</f>
        <v/>
      </c>
    </row>
    <row r="22" ht="15" customHeight="1" s="25">
      <c r="A22" s="40">
        <f>IFERROR(IF(13&lt;=COUNTIFS('New Tooling Jobs'!A$13:A$62,"&lt;&gt;",'New Tooling Jobs'!E$13:E$62,"&lt;&gt;Completed"),INDEX('New Tooling Jobs'!A$13:A$62,MATCH(13,'New Tooling Jobs'!AG$13:AG$62,0)),INDEX(Reorders!A$13:A$62,MATCH(13-COUNTIFS('New Tooling Jobs'!A$13:A$62,"&lt;&gt;",'New Tooling Jobs'!E$13:E$62,"&lt;&gt;Completed"),Reorders!AC$13:AC$62,0))),"")</f>
        <v/>
      </c>
      <c r="B22" s="40">
        <f>IFERROR(IF(13&lt;=COUNTIFS('New Tooling Jobs'!A$13:A$62,"&lt;&gt;",'New Tooling Jobs'!E$13:E$62,"&lt;&gt;Completed"),"New Tooling","Reorder"),"")</f>
        <v/>
      </c>
      <c r="C22" s="41">
        <f>IFERROR(IF(13&lt;=COUNTIFS('New Tooling Jobs'!A$13:A$62,"&lt;&gt;",'New Tooling Jobs'!E$13:E$62,"&lt;&gt;Completed"),INDEX('New Tooling Jobs'!B$13:B$62,MATCH(13,'New Tooling Jobs'!AG$13:AG$62,0)),INDEX(Reorders!B$13:B$62,MATCH(13-COUNTIFS('New Tooling Jobs'!A$13:A$62,"&lt;&gt;",'New Tooling Jobs'!E$13:E$62,"&lt;&gt;Completed"),Reorders!AC$13:AC$62,0))),"")</f>
        <v/>
      </c>
      <c r="D22" s="41">
        <f>IFERROR(IF(13&lt;=COUNTIFS('New Tooling Jobs'!A$13:A$62,"&lt;&gt;",'New Tooling Jobs'!E$13:E$62,"&lt;&gt;Completed"),INDEX('New Tooling Jobs'!E$13:E$62,MATCH(13,'New Tooling Jobs'!AG$13:AG$62,0)),INDEX(Reorders!E$13:E$62,MATCH(13-COUNTIFS('New Tooling Jobs'!A$13:A$62,"&lt;&gt;",'New Tooling Jobs'!E$13:E$62,"&lt;&gt;Completed"),Reorders!AC$13:AC$62,0))),"")</f>
        <v/>
      </c>
      <c r="E22" s="40">
        <f>IFERROR(IF(13&lt;=COUNTIFS('New Tooling Jobs'!A$13:A$62,"&lt;&gt;",'New Tooling Jobs'!E$13:E$62,"&lt;&gt;Completed"),INDEX('New Tooling Jobs'!G$13:G$62,MATCH(13,'New Tooling Jobs'!AG$13:AG$62,0)),INDEX(Reorders!G$13:G$62,MATCH(13-COUNTIFS('New Tooling Jobs'!A$13:A$62,"&lt;&gt;",'New Tooling Jobs'!E$13:E$62,"&lt;&gt;Completed"),Reorders!AC$13:AC$62,0))),"")</f>
        <v/>
      </c>
      <c r="F22" s="40">
        <f>IFERROR(IF(13&lt;=COUNTIFS('New Tooling Jobs'!A$13:A$62,"&lt;&gt;",'New Tooling Jobs'!E$13:E$62,"&lt;&gt;Completed"),INDEX('New Tooling Jobs'!H$13:H$62,MATCH(13,'New Tooling Jobs'!AG$13:AG$62,0)),INDEX(Reorders!H$13:H$62,MATCH(13-COUNTIFS('New Tooling Jobs'!A$13:A$62,"&lt;&gt;",'New Tooling Jobs'!E$13:E$62,"&lt;&gt;Completed"),Reorders!AC$13:AC$62,0))),"")</f>
        <v/>
      </c>
      <c r="G22" s="41">
        <f>IFERROR(IF(13&lt;=COUNTIFS('New Tooling Jobs'!A$13:A$62,"&lt;&gt;",'New Tooling Jobs'!E$13:E$62,"&lt;&gt;Completed"),INDEX('New Tooling Jobs'!I$13:I$62,MATCH(13,'New Tooling Jobs'!AG$13:AG$62,0)),INDEX(Reorders!I$13:I$62,MATCH(13-COUNTIFS('New Tooling Jobs'!A$13:A$62,"&lt;&gt;",'New Tooling Jobs'!E$13:E$62,"&lt;&gt;Completed"),Reorders!AC$13:AC$62,0))),"")</f>
        <v/>
      </c>
    </row>
    <row r="23" ht="15" customHeight="1" s="25">
      <c r="A23" s="40">
        <f>IFERROR(IF(14&lt;=COUNTIFS('New Tooling Jobs'!A$13:A$62,"&lt;&gt;",'New Tooling Jobs'!E$13:E$62,"&lt;&gt;Completed"),INDEX('New Tooling Jobs'!A$13:A$62,MATCH(14,'New Tooling Jobs'!AG$13:AG$62,0)),INDEX(Reorders!A$13:A$62,MATCH(14-COUNTIFS('New Tooling Jobs'!A$13:A$62,"&lt;&gt;",'New Tooling Jobs'!E$13:E$62,"&lt;&gt;Completed"),Reorders!AC$13:AC$62,0))),"")</f>
        <v/>
      </c>
      <c r="B23" s="40">
        <f>IFERROR(IF(14&lt;=COUNTIFS('New Tooling Jobs'!A$13:A$62,"&lt;&gt;",'New Tooling Jobs'!E$13:E$62,"&lt;&gt;Completed"),"New Tooling","Reorder"),"")</f>
        <v/>
      </c>
      <c r="C23" s="41">
        <f>IFERROR(IF(14&lt;=COUNTIFS('New Tooling Jobs'!A$13:A$62,"&lt;&gt;",'New Tooling Jobs'!E$13:E$62,"&lt;&gt;Completed"),INDEX('New Tooling Jobs'!B$13:B$62,MATCH(14,'New Tooling Jobs'!AG$13:AG$62,0)),INDEX(Reorders!B$13:B$62,MATCH(14-COUNTIFS('New Tooling Jobs'!A$13:A$62,"&lt;&gt;",'New Tooling Jobs'!E$13:E$62,"&lt;&gt;Completed"),Reorders!AC$13:AC$62,0))),"")</f>
        <v/>
      </c>
      <c r="D23" s="41">
        <f>IFERROR(IF(14&lt;=COUNTIFS('New Tooling Jobs'!A$13:A$62,"&lt;&gt;",'New Tooling Jobs'!E$13:E$62,"&lt;&gt;Completed"),INDEX('New Tooling Jobs'!E$13:E$62,MATCH(14,'New Tooling Jobs'!AG$13:AG$62,0)),INDEX(Reorders!E$13:E$62,MATCH(14-COUNTIFS('New Tooling Jobs'!A$13:A$62,"&lt;&gt;",'New Tooling Jobs'!E$13:E$62,"&lt;&gt;Completed"),Reorders!AC$13:AC$62,0))),"")</f>
        <v/>
      </c>
      <c r="E23" s="40">
        <f>IFERROR(IF(14&lt;=COUNTIFS('New Tooling Jobs'!A$13:A$62,"&lt;&gt;",'New Tooling Jobs'!E$13:E$62,"&lt;&gt;Completed"),INDEX('New Tooling Jobs'!G$13:G$62,MATCH(14,'New Tooling Jobs'!AG$13:AG$62,0)),INDEX(Reorders!G$13:G$62,MATCH(14-COUNTIFS('New Tooling Jobs'!A$13:A$62,"&lt;&gt;",'New Tooling Jobs'!E$13:E$62,"&lt;&gt;Completed"),Reorders!AC$13:AC$62,0))),"")</f>
        <v/>
      </c>
      <c r="F23" s="40">
        <f>IFERROR(IF(14&lt;=COUNTIFS('New Tooling Jobs'!A$13:A$62,"&lt;&gt;",'New Tooling Jobs'!E$13:E$62,"&lt;&gt;Completed"),INDEX('New Tooling Jobs'!H$13:H$62,MATCH(14,'New Tooling Jobs'!AG$13:AG$62,0)),INDEX(Reorders!H$13:H$62,MATCH(14-COUNTIFS('New Tooling Jobs'!A$13:A$62,"&lt;&gt;",'New Tooling Jobs'!E$13:E$62,"&lt;&gt;Completed"),Reorders!AC$13:AC$62,0))),"")</f>
        <v/>
      </c>
      <c r="G23" s="41">
        <f>IFERROR(IF(14&lt;=COUNTIFS('New Tooling Jobs'!A$13:A$62,"&lt;&gt;",'New Tooling Jobs'!E$13:E$62,"&lt;&gt;Completed"),INDEX('New Tooling Jobs'!I$13:I$62,MATCH(14,'New Tooling Jobs'!AG$13:AG$62,0)),INDEX(Reorders!I$13:I$62,MATCH(14-COUNTIFS('New Tooling Jobs'!A$13:A$62,"&lt;&gt;",'New Tooling Jobs'!E$13:E$62,"&lt;&gt;Completed"),Reorders!AC$13:AC$62,0))),"")</f>
        <v/>
      </c>
    </row>
    <row r="24" ht="15" customHeight="1" s="25">
      <c r="A24" s="40">
        <f>IFERROR(IF(15&lt;=COUNTIFS('New Tooling Jobs'!A$13:A$62,"&lt;&gt;",'New Tooling Jobs'!E$13:E$62,"&lt;&gt;Completed"),INDEX('New Tooling Jobs'!A$13:A$62,MATCH(15,'New Tooling Jobs'!AG$13:AG$62,0)),INDEX(Reorders!A$13:A$62,MATCH(15-COUNTIFS('New Tooling Jobs'!A$13:A$62,"&lt;&gt;",'New Tooling Jobs'!E$13:E$62,"&lt;&gt;Completed"),Reorders!AC$13:AC$62,0))),"")</f>
        <v/>
      </c>
      <c r="B24" s="40">
        <f>IFERROR(IF(15&lt;=COUNTIFS('New Tooling Jobs'!A$13:A$62,"&lt;&gt;",'New Tooling Jobs'!E$13:E$62,"&lt;&gt;Completed"),"New Tooling","Reorder"),"")</f>
        <v/>
      </c>
      <c r="C24" s="41">
        <f>IFERROR(IF(15&lt;=COUNTIFS('New Tooling Jobs'!A$13:A$62,"&lt;&gt;",'New Tooling Jobs'!E$13:E$62,"&lt;&gt;Completed"),INDEX('New Tooling Jobs'!B$13:B$62,MATCH(15,'New Tooling Jobs'!AG$13:AG$62,0)),INDEX(Reorders!B$13:B$62,MATCH(15-COUNTIFS('New Tooling Jobs'!A$13:A$62,"&lt;&gt;",'New Tooling Jobs'!E$13:E$62,"&lt;&gt;Completed"),Reorders!AC$13:AC$62,0))),"")</f>
        <v/>
      </c>
      <c r="D24" s="41">
        <f>IFERROR(IF(15&lt;=COUNTIFS('New Tooling Jobs'!A$13:A$62,"&lt;&gt;",'New Tooling Jobs'!E$13:E$62,"&lt;&gt;Completed"),INDEX('New Tooling Jobs'!E$13:E$62,MATCH(15,'New Tooling Jobs'!AG$13:AG$62,0)),INDEX(Reorders!E$13:E$62,MATCH(15-COUNTIFS('New Tooling Jobs'!A$13:A$62,"&lt;&gt;",'New Tooling Jobs'!E$13:E$62,"&lt;&gt;Completed"),Reorders!AC$13:AC$62,0))),"")</f>
        <v/>
      </c>
      <c r="E24" s="40">
        <f>IFERROR(IF(15&lt;=COUNTIFS('New Tooling Jobs'!A$13:A$62,"&lt;&gt;",'New Tooling Jobs'!E$13:E$62,"&lt;&gt;Completed"),INDEX('New Tooling Jobs'!G$13:G$62,MATCH(15,'New Tooling Jobs'!AG$13:AG$62,0)),INDEX(Reorders!G$13:G$62,MATCH(15-COUNTIFS('New Tooling Jobs'!A$13:A$62,"&lt;&gt;",'New Tooling Jobs'!E$13:E$62,"&lt;&gt;Completed"),Reorders!AC$13:AC$62,0))),"")</f>
        <v/>
      </c>
      <c r="F24" s="40">
        <f>IFERROR(IF(15&lt;=COUNTIFS('New Tooling Jobs'!A$13:A$62,"&lt;&gt;",'New Tooling Jobs'!E$13:E$62,"&lt;&gt;Completed"),INDEX('New Tooling Jobs'!H$13:H$62,MATCH(15,'New Tooling Jobs'!AG$13:AG$62,0)),INDEX(Reorders!H$13:H$62,MATCH(15-COUNTIFS('New Tooling Jobs'!A$13:A$62,"&lt;&gt;",'New Tooling Jobs'!E$13:E$62,"&lt;&gt;Completed"),Reorders!AC$13:AC$62,0))),"")</f>
        <v/>
      </c>
      <c r="G24" s="41">
        <f>IFERROR(IF(15&lt;=COUNTIFS('New Tooling Jobs'!A$13:A$62,"&lt;&gt;",'New Tooling Jobs'!E$13:E$62,"&lt;&gt;Completed"),INDEX('New Tooling Jobs'!I$13:I$62,MATCH(15,'New Tooling Jobs'!AG$13:AG$62,0)),INDEX(Reorders!I$13:I$62,MATCH(15-COUNTIFS('New Tooling Jobs'!A$13:A$62,"&lt;&gt;",'New Tooling Jobs'!E$13:E$62,"&lt;&gt;Completed"),Reorders!AC$13:AC$62,0))),"")</f>
        <v/>
      </c>
    </row>
    <row r="25" ht="15" customHeight="1" s="25">
      <c r="A25" s="40">
        <f>IFERROR(IF(16&lt;=COUNTIFS('New Tooling Jobs'!A$13:A$62,"&lt;&gt;",'New Tooling Jobs'!E$13:E$62,"&lt;&gt;Completed"),INDEX('New Tooling Jobs'!A$13:A$62,MATCH(16,'New Tooling Jobs'!AG$13:AG$62,0)),INDEX(Reorders!A$13:A$62,MATCH(16-COUNTIFS('New Tooling Jobs'!A$13:A$62,"&lt;&gt;",'New Tooling Jobs'!E$13:E$62,"&lt;&gt;Completed"),Reorders!AC$13:AC$62,0))),"")</f>
        <v/>
      </c>
      <c r="B25" s="40">
        <f>IFERROR(IF(16&lt;=COUNTIFS('New Tooling Jobs'!A$13:A$62,"&lt;&gt;",'New Tooling Jobs'!E$13:E$62,"&lt;&gt;Completed"),"New Tooling","Reorder"),"")</f>
        <v/>
      </c>
      <c r="C25" s="41">
        <f>IFERROR(IF(16&lt;=COUNTIFS('New Tooling Jobs'!A$13:A$62,"&lt;&gt;",'New Tooling Jobs'!E$13:E$62,"&lt;&gt;Completed"),INDEX('New Tooling Jobs'!B$13:B$62,MATCH(16,'New Tooling Jobs'!AG$13:AG$62,0)),INDEX(Reorders!B$13:B$62,MATCH(16-COUNTIFS('New Tooling Jobs'!A$13:A$62,"&lt;&gt;",'New Tooling Jobs'!E$13:E$62,"&lt;&gt;Completed"),Reorders!AC$13:AC$62,0))),"")</f>
        <v/>
      </c>
      <c r="D25" s="41">
        <f>IFERROR(IF(16&lt;=COUNTIFS('New Tooling Jobs'!A$13:A$62,"&lt;&gt;",'New Tooling Jobs'!E$13:E$62,"&lt;&gt;Completed"),INDEX('New Tooling Jobs'!E$13:E$62,MATCH(16,'New Tooling Jobs'!AG$13:AG$62,0)),INDEX(Reorders!E$13:E$62,MATCH(16-COUNTIFS('New Tooling Jobs'!A$13:A$62,"&lt;&gt;",'New Tooling Jobs'!E$13:E$62,"&lt;&gt;Completed"),Reorders!AC$13:AC$62,0))),"")</f>
        <v/>
      </c>
      <c r="E25" s="40">
        <f>IFERROR(IF(16&lt;=COUNTIFS('New Tooling Jobs'!A$13:A$62,"&lt;&gt;",'New Tooling Jobs'!E$13:E$62,"&lt;&gt;Completed"),INDEX('New Tooling Jobs'!G$13:G$62,MATCH(16,'New Tooling Jobs'!AG$13:AG$62,0)),INDEX(Reorders!G$13:G$62,MATCH(16-COUNTIFS('New Tooling Jobs'!A$13:A$62,"&lt;&gt;",'New Tooling Jobs'!E$13:E$62,"&lt;&gt;Completed"),Reorders!AC$13:AC$62,0))),"")</f>
        <v/>
      </c>
      <c r="F25" s="40">
        <f>IFERROR(IF(16&lt;=COUNTIFS('New Tooling Jobs'!A$13:A$62,"&lt;&gt;",'New Tooling Jobs'!E$13:E$62,"&lt;&gt;Completed"),INDEX('New Tooling Jobs'!H$13:H$62,MATCH(16,'New Tooling Jobs'!AG$13:AG$62,0)),INDEX(Reorders!H$13:H$62,MATCH(16-COUNTIFS('New Tooling Jobs'!A$13:A$62,"&lt;&gt;",'New Tooling Jobs'!E$13:E$62,"&lt;&gt;Completed"),Reorders!AC$13:AC$62,0))),"")</f>
        <v/>
      </c>
      <c r="G25" s="41">
        <f>IFERROR(IF(16&lt;=COUNTIFS('New Tooling Jobs'!A$13:A$62,"&lt;&gt;",'New Tooling Jobs'!E$13:E$62,"&lt;&gt;Completed"),INDEX('New Tooling Jobs'!I$13:I$62,MATCH(16,'New Tooling Jobs'!AG$13:AG$62,0)),INDEX(Reorders!I$13:I$62,MATCH(16-COUNTIFS('New Tooling Jobs'!A$13:A$62,"&lt;&gt;",'New Tooling Jobs'!E$13:E$62,"&lt;&gt;Completed"),Reorders!AC$13:AC$62,0))),"")</f>
        <v/>
      </c>
    </row>
    <row r="26" ht="15" customHeight="1" s="25">
      <c r="A26" s="40">
        <f>IFERROR(IF(17&lt;=COUNTIFS('New Tooling Jobs'!A$13:A$62,"&lt;&gt;",'New Tooling Jobs'!E$13:E$62,"&lt;&gt;Completed"),INDEX('New Tooling Jobs'!A$13:A$62,MATCH(17,'New Tooling Jobs'!AG$13:AG$62,0)),INDEX(Reorders!A$13:A$62,MATCH(17-COUNTIFS('New Tooling Jobs'!A$13:A$62,"&lt;&gt;",'New Tooling Jobs'!E$13:E$62,"&lt;&gt;Completed"),Reorders!AC$13:AC$62,0))),"")</f>
        <v/>
      </c>
      <c r="B26" s="40">
        <f>IFERROR(IF(17&lt;=COUNTIFS('New Tooling Jobs'!A$13:A$62,"&lt;&gt;",'New Tooling Jobs'!E$13:E$62,"&lt;&gt;Completed"),"New Tooling","Reorder"),"")</f>
        <v/>
      </c>
      <c r="C26" s="41">
        <f>IFERROR(IF(17&lt;=COUNTIFS('New Tooling Jobs'!A$13:A$62,"&lt;&gt;",'New Tooling Jobs'!E$13:E$62,"&lt;&gt;Completed"),INDEX('New Tooling Jobs'!B$13:B$62,MATCH(17,'New Tooling Jobs'!AG$13:AG$62,0)),INDEX(Reorders!B$13:B$62,MATCH(17-COUNTIFS('New Tooling Jobs'!A$13:A$62,"&lt;&gt;",'New Tooling Jobs'!E$13:E$62,"&lt;&gt;Completed"),Reorders!AC$13:AC$62,0))),"")</f>
        <v/>
      </c>
      <c r="D26" s="41">
        <f>IFERROR(IF(17&lt;=COUNTIFS('New Tooling Jobs'!A$13:A$62,"&lt;&gt;",'New Tooling Jobs'!E$13:E$62,"&lt;&gt;Completed"),INDEX('New Tooling Jobs'!E$13:E$62,MATCH(17,'New Tooling Jobs'!AG$13:AG$62,0)),INDEX(Reorders!E$13:E$62,MATCH(17-COUNTIFS('New Tooling Jobs'!A$13:A$62,"&lt;&gt;",'New Tooling Jobs'!E$13:E$62,"&lt;&gt;Completed"),Reorders!AC$13:AC$62,0))),"")</f>
        <v/>
      </c>
      <c r="E26" s="40">
        <f>IFERROR(IF(17&lt;=COUNTIFS('New Tooling Jobs'!A$13:A$62,"&lt;&gt;",'New Tooling Jobs'!E$13:E$62,"&lt;&gt;Completed"),INDEX('New Tooling Jobs'!G$13:G$62,MATCH(17,'New Tooling Jobs'!AG$13:AG$62,0)),INDEX(Reorders!G$13:G$62,MATCH(17-COUNTIFS('New Tooling Jobs'!A$13:A$62,"&lt;&gt;",'New Tooling Jobs'!E$13:E$62,"&lt;&gt;Completed"),Reorders!AC$13:AC$62,0))),"")</f>
        <v/>
      </c>
      <c r="F26" s="40">
        <f>IFERROR(IF(17&lt;=COUNTIFS('New Tooling Jobs'!A$13:A$62,"&lt;&gt;",'New Tooling Jobs'!E$13:E$62,"&lt;&gt;Completed"),INDEX('New Tooling Jobs'!H$13:H$62,MATCH(17,'New Tooling Jobs'!AG$13:AG$62,0)),INDEX(Reorders!H$13:H$62,MATCH(17-COUNTIFS('New Tooling Jobs'!A$13:A$62,"&lt;&gt;",'New Tooling Jobs'!E$13:E$62,"&lt;&gt;Completed"),Reorders!AC$13:AC$62,0))),"")</f>
        <v/>
      </c>
      <c r="G26" s="41">
        <f>IFERROR(IF(17&lt;=COUNTIFS('New Tooling Jobs'!A$13:A$62,"&lt;&gt;",'New Tooling Jobs'!E$13:E$62,"&lt;&gt;Completed"),INDEX('New Tooling Jobs'!I$13:I$62,MATCH(17,'New Tooling Jobs'!AG$13:AG$62,0)),INDEX(Reorders!I$13:I$62,MATCH(17-COUNTIFS('New Tooling Jobs'!A$13:A$62,"&lt;&gt;",'New Tooling Jobs'!E$13:E$62,"&lt;&gt;Completed"),Reorders!AC$13:AC$62,0))),"")</f>
        <v/>
      </c>
    </row>
    <row r="27" ht="15" customHeight="1" s="25">
      <c r="A27" s="40">
        <f>IFERROR(IF(18&lt;=COUNTIFS('New Tooling Jobs'!A$13:A$62,"&lt;&gt;",'New Tooling Jobs'!E$13:E$62,"&lt;&gt;Completed"),INDEX('New Tooling Jobs'!A$13:A$62,MATCH(18,'New Tooling Jobs'!AG$13:AG$62,0)),INDEX(Reorders!A$13:A$62,MATCH(18-COUNTIFS('New Tooling Jobs'!A$13:A$62,"&lt;&gt;",'New Tooling Jobs'!E$13:E$62,"&lt;&gt;Completed"),Reorders!AC$13:AC$62,0))),"")</f>
        <v/>
      </c>
      <c r="B27" s="40">
        <f>IFERROR(IF(18&lt;=COUNTIFS('New Tooling Jobs'!A$13:A$62,"&lt;&gt;",'New Tooling Jobs'!E$13:E$62,"&lt;&gt;Completed"),"New Tooling","Reorder"),"")</f>
        <v/>
      </c>
      <c r="C27" s="41">
        <f>IFERROR(IF(18&lt;=COUNTIFS('New Tooling Jobs'!A$13:A$62,"&lt;&gt;",'New Tooling Jobs'!E$13:E$62,"&lt;&gt;Completed"),INDEX('New Tooling Jobs'!B$13:B$62,MATCH(18,'New Tooling Jobs'!AG$13:AG$62,0)),INDEX(Reorders!B$13:B$62,MATCH(18-COUNTIFS('New Tooling Jobs'!A$13:A$62,"&lt;&gt;",'New Tooling Jobs'!E$13:E$62,"&lt;&gt;Completed"),Reorders!AC$13:AC$62,0))),"")</f>
        <v/>
      </c>
      <c r="D27" s="41">
        <f>IFERROR(IF(18&lt;=COUNTIFS('New Tooling Jobs'!A$13:A$62,"&lt;&gt;",'New Tooling Jobs'!E$13:E$62,"&lt;&gt;Completed"),INDEX('New Tooling Jobs'!E$13:E$62,MATCH(18,'New Tooling Jobs'!AG$13:AG$62,0)),INDEX(Reorders!E$13:E$62,MATCH(18-COUNTIFS('New Tooling Jobs'!A$13:A$62,"&lt;&gt;",'New Tooling Jobs'!E$13:E$62,"&lt;&gt;Completed"),Reorders!AC$13:AC$62,0))),"")</f>
        <v/>
      </c>
      <c r="E27" s="40">
        <f>IFERROR(IF(18&lt;=COUNTIFS('New Tooling Jobs'!A$13:A$62,"&lt;&gt;",'New Tooling Jobs'!E$13:E$62,"&lt;&gt;Completed"),INDEX('New Tooling Jobs'!G$13:G$62,MATCH(18,'New Tooling Jobs'!AG$13:AG$62,0)),INDEX(Reorders!G$13:G$62,MATCH(18-COUNTIFS('New Tooling Jobs'!A$13:A$62,"&lt;&gt;",'New Tooling Jobs'!E$13:E$62,"&lt;&gt;Completed"),Reorders!AC$13:AC$62,0))),"")</f>
        <v/>
      </c>
      <c r="F27" s="40">
        <f>IFERROR(IF(18&lt;=COUNTIFS('New Tooling Jobs'!A$13:A$62,"&lt;&gt;",'New Tooling Jobs'!E$13:E$62,"&lt;&gt;Completed"),INDEX('New Tooling Jobs'!H$13:H$62,MATCH(18,'New Tooling Jobs'!AG$13:AG$62,0)),INDEX(Reorders!H$13:H$62,MATCH(18-COUNTIFS('New Tooling Jobs'!A$13:A$62,"&lt;&gt;",'New Tooling Jobs'!E$13:E$62,"&lt;&gt;Completed"),Reorders!AC$13:AC$62,0))),"")</f>
        <v/>
      </c>
      <c r="G27" s="41">
        <f>IFERROR(IF(18&lt;=COUNTIFS('New Tooling Jobs'!A$13:A$62,"&lt;&gt;",'New Tooling Jobs'!E$13:E$62,"&lt;&gt;Completed"),INDEX('New Tooling Jobs'!I$13:I$62,MATCH(18,'New Tooling Jobs'!AG$13:AG$62,0)),INDEX(Reorders!I$13:I$62,MATCH(18-COUNTIFS('New Tooling Jobs'!A$13:A$62,"&lt;&gt;",'New Tooling Jobs'!E$13:E$62,"&lt;&gt;Completed"),Reorders!AC$13:AC$62,0))),"")</f>
        <v/>
      </c>
    </row>
    <row r="28" ht="15" customHeight="1" s="25">
      <c r="A28" s="40">
        <f>IFERROR(IF(19&lt;=COUNTIFS('New Tooling Jobs'!A$13:A$62,"&lt;&gt;",'New Tooling Jobs'!E$13:E$62,"&lt;&gt;Completed"),INDEX('New Tooling Jobs'!A$13:A$62,MATCH(19,'New Tooling Jobs'!AG$13:AG$62,0)),INDEX(Reorders!A$13:A$62,MATCH(19-COUNTIFS('New Tooling Jobs'!A$13:A$62,"&lt;&gt;",'New Tooling Jobs'!E$13:E$62,"&lt;&gt;Completed"),Reorders!AC$13:AC$62,0))),"")</f>
        <v/>
      </c>
      <c r="B28" s="40">
        <f>IFERROR(IF(19&lt;=COUNTIFS('New Tooling Jobs'!A$13:A$62,"&lt;&gt;",'New Tooling Jobs'!E$13:E$62,"&lt;&gt;Completed"),"New Tooling","Reorder"),"")</f>
        <v/>
      </c>
      <c r="C28" s="41">
        <f>IFERROR(IF(19&lt;=COUNTIFS('New Tooling Jobs'!A$13:A$62,"&lt;&gt;",'New Tooling Jobs'!E$13:E$62,"&lt;&gt;Completed"),INDEX('New Tooling Jobs'!B$13:B$62,MATCH(19,'New Tooling Jobs'!AG$13:AG$62,0)),INDEX(Reorders!B$13:B$62,MATCH(19-COUNTIFS('New Tooling Jobs'!A$13:A$62,"&lt;&gt;",'New Tooling Jobs'!E$13:E$62,"&lt;&gt;Completed"),Reorders!AC$13:AC$62,0))),"")</f>
        <v/>
      </c>
      <c r="D28" s="41">
        <f>IFERROR(IF(19&lt;=COUNTIFS('New Tooling Jobs'!A$13:A$62,"&lt;&gt;",'New Tooling Jobs'!E$13:E$62,"&lt;&gt;Completed"),INDEX('New Tooling Jobs'!E$13:E$62,MATCH(19,'New Tooling Jobs'!AG$13:AG$62,0)),INDEX(Reorders!E$13:E$62,MATCH(19-COUNTIFS('New Tooling Jobs'!A$13:A$62,"&lt;&gt;",'New Tooling Jobs'!E$13:E$62,"&lt;&gt;Completed"),Reorders!AC$13:AC$62,0))),"")</f>
        <v/>
      </c>
      <c r="E28" s="40">
        <f>IFERROR(IF(19&lt;=COUNTIFS('New Tooling Jobs'!A$13:A$62,"&lt;&gt;",'New Tooling Jobs'!E$13:E$62,"&lt;&gt;Completed"),INDEX('New Tooling Jobs'!G$13:G$62,MATCH(19,'New Tooling Jobs'!AG$13:AG$62,0)),INDEX(Reorders!G$13:G$62,MATCH(19-COUNTIFS('New Tooling Jobs'!A$13:A$62,"&lt;&gt;",'New Tooling Jobs'!E$13:E$62,"&lt;&gt;Completed"),Reorders!AC$13:AC$62,0))),"")</f>
        <v/>
      </c>
      <c r="F28" s="40">
        <f>IFERROR(IF(19&lt;=COUNTIFS('New Tooling Jobs'!A$13:A$62,"&lt;&gt;",'New Tooling Jobs'!E$13:E$62,"&lt;&gt;Completed"),INDEX('New Tooling Jobs'!H$13:H$62,MATCH(19,'New Tooling Jobs'!AG$13:AG$62,0)),INDEX(Reorders!H$13:H$62,MATCH(19-COUNTIFS('New Tooling Jobs'!A$13:A$62,"&lt;&gt;",'New Tooling Jobs'!E$13:E$62,"&lt;&gt;Completed"),Reorders!AC$13:AC$62,0))),"")</f>
        <v/>
      </c>
      <c r="G28" s="41">
        <f>IFERROR(IF(19&lt;=COUNTIFS('New Tooling Jobs'!A$13:A$62,"&lt;&gt;",'New Tooling Jobs'!E$13:E$62,"&lt;&gt;Completed"),INDEX('New Tooling Jobs'!I$13:I$62,MATCH(19,'New Tooling Jobs'!AG$13:AG$62,0)),INDEX(Reorders!I$13:I$62,MATCH(19-COUNTIFS('New Tooling Jobs'!A$13:A$62,"&lt;&gt;",'New Tooling Jobs'!E$13:E$62,"&lt;&gt;Completed"),Reorders!AC$13:AC$62,0))),"")</f>
        <v/>
      </c>
    </row>
    <row r="29" ht="15" customHeight="1" s="25">
      <c r="A29" s="40">
        <f>IFERROR(IF(20&lt;=COUNTIFS('New Tooling Jobs'!A$13:A$62,"&lt;&gt;",'New Tooling Jobs'!E$13:E$62,"&lt;&gt;Completed"),INDEX('New Tooling Jobs'!A$13:A$62,MATCH(20,'New Tooling Jobs'!AG$13:AG$62,0)),INDEX(Reorders!A$13:A$62,MATCH(20-COUNTIFS('New Tooling Jobs'!A$13:A$62,"&lt;&gt;",'New Tooling Jobs'!E$13:E$62,"&lt;&gt;Completed"),Reorders!AC$13:AC$62,0))),"")</f>
        <v/>
      </c>
      <c r="B29" s="40">
        <f>IFERROR(IF(20&lt;=COUNTIFS('New Tooling Jobs'!A$13:A$62,"&lt;&gt;",'New Tooling Jobs'!E$13:E$62,"&lt;&gt;Completed"),"New Tooling","Reorder"),"")</f>
        <v/>
      </c>
      <c r="C29" s="41">
        <f>IFERROR(IF(20&lt;=COUNTIFS('New Tooling Jobs'!A$13:A$62,"&lt;&gt;",'New Tooling Jobs'!E$13:E$62,"&lt;&gt;Completed"),INDEX('New Tooling Jobs'!B$13:B$62,MATCH(20,'New Tooling Jobs'!AG$13:AG$62,0)),INDEX(Reorders!B$13:B$62,MATCH(20-COUNTIFS('New Tooling Jobs'!A$13:A$62,"&lt;&gt;",'New Tooling Jobs'!E$13:E$62,"&lt;&gt;Completed"),Reorders!AC$13:AC$62,0))),"")</f>
        <v/>
      </c>
      <c r="D29" s="41">
        <f>IFERROR(IF(20&lt;=COUNTIFS('New Tooling Jobs'!A$13:A$62,"&lt;&gt;",'New Tooling Jobs'!E$13:E$62,"&lt;&gt;Completed"),INDEX('New Tooling Jobs'!E$13:E$62,MATCH(20,'New Tooling Jobs'!AG$13:AG$62,0)),INDEX(Reorders!E$13:E$62,MATCH(20-COUNTIFS('New Tooling Jobs'!A$13:A$62,"&lt;&gt;",'New Tooling Jobs'!E$13:E$62,"&lt;&gt;Completed"),Reorders!AC$13:AC$62,0))),"")</f>
        <v/>
      </c>
      <c r="E29" s="40">
        <f>IFERROR(IF(20&lt;=COUNTIFS('New Tooling Jobs'!A$13:A$62,"&lt;&gt;",'New Tooling Jobs'!E$13:E$62,"&lt;&gt;Completed"),INDEX('New Tooling Jobs'!G$13:G$62,MATCH(20,'New Tooling Jobs'!AG$13:AG$62,0)),INDEX(Reorders!G$13:G$62,MATCH(20-COUNTIFS('New Tooling Jobs'!A$13:A$62,"&lt;&gt;",'New Tooling Jobs'!E$13:E$62,"&lt;&gt;Completed"),Reorders!AC$13:AC$62,0))),"")</f>
        <v/>
      </c>
      <c r="F29" s="40">
        <f>IFERROR(IF(20&lt;=COUNTIFS('New Tooling Jobs'!A$13:A$62,"&lt;&gt;",'New Tooling Jobs'!E$13:E$62,"&lt;&gt;Completed"),INDEX('New Tooling Jobs'!H$13:H$62,MATCH(20,'New Tooling Jobs'!AG$13:AG$62,0)),INDEX(Reorders!H$13:H$62,MATCH(20-COUNTIFS('New Tooling Jobs'!A$13:A$62,"&lt;&gt;",'New Tooling Jobs'!E$13:E$62,"&lt;&gt;Completed"),Reorders!AC$13:AC$62,0))),"")</f>
        <v/>
      </c>
      <c r="G29" s="41">
        <f>IFERROR(IF(20&lt;=COUNTIFS('New Tooling Jobs'!A$13:A$62,"&lt;&gt;",'New Tooling Jobs'!E$13:E$62,"&lt;&gt;Completed"),INDEX('New Tooling Jobs'!I$13:I$62,MATCH(20,'New Tooling Jobs'!AG$13:AG$62,0)),INDEX(Reorders!I$13:I$62,MATCH(20-COUNTIFS('New Tooling Jobs'!A$13:A$62,"&lt;&gt;",'New Tooling Jobs'!E$13:E$62,"&lt;&gt;Completed"),Reorders!AC$13:AC$62,0))),"")</f>
        <v/>
      </c>
    </row>
    <row r="30" ht="15" customHeight="1" s="25">
      <c r="A30" s="40" t="n"/>
      <c r="B30" s="40" t="n"/>
      <c r="C30" s="41" t="n"/>
      <c r="D30" s="41" t="n"/>
      <c r="E30" s="40" t="n"/>
      <c r="F30" s="40" t="n"/>
      <c r="G30" s="41" t="n"/>
    </row>
    <row r="31" ht="15" customHeight="1" s="25">
      <c r="A31" s="40" t="n"/>
      <c r="B31" s="40" t="n"/>
      <c r="C31" s="41" t="n"/>
      <c r="D31" s="41" t="n"/>
      <c r="E31" s="40" t="n"/>
      <c r="F31" s="40" t="n"/>
      <c r="G31" s="41" t="n"/>
    </row>
    <row r="32" ht="15" customHeight="1" s="25">
      <c r="A32" s="40" t="n"/>
      <c r="B32" s="40" t="n"/>
      <c r="C32" s="41" t="n"/>
      <c r="D32" s="41" t="n"/>
      <c r="E32" s="40" t="n"/>
      <c r="F32" s="40" t="n"/>
      <c r="G32" s="41" t="n"/>
    </row>
    <row r="33" ht="15" customHeight="1" s="25">
      <c r="A33" s="40" t="n"/>
      <c r="B33" s="40" t="n"/>
      <c r="C33" s="41" t="n"/>
      <c r="D33" s="41" t="n"/>
      <c r="E33" s="40" t="n"/>
      <c r="F33" s="40" t="n"/>
      <c r="G33" s="41" t="n"/>
    </row>
    <row r="34" ht="15" customHeight="1" s="25">
      <c r="A34" s="40" t="n"/>
      <c r="B34" s="40" t="n"/>
      <c r="C34" s="41" t="n"/>
      <c r="D34" s="41" t="n"/>
      <c r="E34" s="40" t="n"/>
      <c r="F34" s="40" t="n"/>
      <c r="G34" s="41" t="n"/>
    </row>
    <row r="35" ht="15" customHeight="1" s="25">
      <c r="A35" s="40" t="n"/>
      <c r="B35" s="40" t="n"/>
      <c r="C35" s="41" t="n"/>
      <c r="D35" s="41" t="n"/>
      <c r="E35" s="40" t="n"/>
      <c r="F35" s="40" t="n"/>
      <c r="G35" s="41" t="n"/>
    </row>
    <row r="36" ht="15" customHeight="1" s="25">
      <c r="A36" s="40" t="n"/>
      <c r="B36" s="40" t="n"/>
      <c r="C36" s="41" t="n"/>
      <c r="D36" s="41" t="n"/>
      <c r="E36" s="40" t="n"/>
      <c r="F36" s="40" t="n"/>
      <c r="G36" s="41" t="n"/>
    </row>
    <row r="37" ht="15" customHeight="1" s="25">
      <c r="A37" s="40" t="n"/>
      <c r="B37" s="40" t="n"/>
      <c r="C37" s="41" t="n"/>
      <c r="D37" s="41" t="n"/>
      <c r="E37" s="40" t="n"/>
      <c r="F37" s="40" t="n"/>
      <c r="G37" s="41" t="n"/>
    </row>
    <row r="38" ht="15" customHeight="1" s="25">
      <c r="A38" s="40" t="n"/>
      <c r="B38" s="40" t="n"/>
      <c r="C38" s="41" t="n"/>
      <c r="D38" s="41" t="n"/>
      <c r="E38" s="40" t="n"/>
      <c r="F38" s="40" t="n"/>
      <c r="G38" s="41" t="n"/>
    </row>
    <row r="39" ht="15" customHeight="1" s="25">
      <c r="A39" s="40" t="n"/>
      <c r="B39" s="40" t="n"/>
      <c r="C39" s="41" t="n"/>
      <c r="D39" s="41" t="n"/>
      <c r="E39" s="40" t="n"/>
      <c r="F39" s="40" t="n"/>
      <c r="G39" s="41" t="n"/>
    </row>
    <row r="40" ht="15" customHeight="1" s="25">
      <c r="A40" s="40" t="n"/>
      <c r="B40" s="40" t="n"/>
      <c r="C40" s="41" t="n"/>
      <c r="D40" s="41" t="n"/>
      <c r="E40" s="40" t="n"/>
      <c r="F40" s="40" t="n"/>
      <c r="G40" s="41" t="n"/>
    </row>
    <row r="41" ht="15" customHeight="1" s="25">
      <c r="A41" s="40" t="n"/>
      <c r="B41" s="40" t="n"/>
      <c r="C41" s="41" t="n"/>
      <c r="D41" s="41" t="n"/>
      <c r="E41" s="40" t="n"/>
      <c r="F41" s="40" t="n"/>
      <c r="G41" s="41" t="n"/>
    </row>
    <row r="42" ht="15" customHeight="1" s="25">
      <c r="A42" s="40" t="n"/>
      <c r="B42" s="40" t="n"/>
      <c r="C42" s="41" t="n"/>
      <c r="D42" s="41" t="n"/>
      <c r="E42" s="40" t="n"/>
      <c r="F42" s="40" t="n"/>
      <c r="G42" s="41" t="n"/>
    </row>
    <row r="43" ht="15" customHeight="1" s="25">
      <c r="A43" s="40" t="n"/>
      <c r="B43" s="40" t="n"/>
      <c r="C43" s="41" t="n"/>
      <c r="D43" s="41" t="n"/>
      <c r="E43" s="40" t="n"/>
      <c r="F43" s="40" t="n"/>
      <c r="G43" s="41" t="n"/>
    </row>
    <row r="44" ht="15" customHeight="1" s="25">
      <c r="A44" s="40" t="n"/>
      <c r="B44" s="40" t="n"/>
      <c r="C44" s="41" t="n"/>
      <c r="D44" s="41" t="n"/>
      <c r="E44" s="40" t="n"/>
      <c r="F44" s="40" t="n"/>
      <c r="G44" s="41" t="n"/>
    </row>
    <row r="45" ht="15" customHeight="1" s="25">
      <c r="A45" s="40" t="n"/>
      <c r="B45" s="40" t="n"/>
      <c r="C45" s="41" t="n"/>
      <c r="D45" s="41" t="n"/>
      <c r="E45" s="40" t="n"/>
      <c r="F45" s="40" t="n"/>
      <c r="G45" s="41" t="n"/>
    </row>
    <row r="46" ht="15" customHeight="1" s="25">
      <c r="A46" s="40" t="n"/>
      <c r="B46" s="40" t="n"/>
      <c r="C46" s="41" t="n"/>
      <c r="D46" s="41" t="n"/>
      <c r="E46" s="40" t="n"/>
      <c r="F46" s="40" t="n"/>
      <c r="G46" s="41" t="n"/>
    </row>
    <row r="47" ht="15" customHeight="1" s="25">
      <c r="A47" s="40" t="n"/>
      <c r="B47" s="40" t="n"/>
      <c r="C47" s="41" t="n"/>
      <c r="D47" s="41" t="n"/>
      <c r="E47" s="40" t="n"/>
      <c r="F47" s="40" t="n"/>
      <c r="G47" s="41" t="n"/>
    </row>
    <row r="48" ht="15" customHeight="1" s="25">
      <c r="A48" s="40" t="n"/>
      <c r="B48" s="40" t="n"/>
      <c r="C48" s="41" t="n"/>
      <c r="D48" s="41" t="n"/>
      <c r="E48" s="40" t="n"/>
      <c r="F48" s="40" t="n"/>
      <c r="G48" s="41" t="n"/>
    </row>
    <row r="49" ht="15" customHeight="1" s="25">
      <c r="A49" s="40" t="n"/>
      <c r="B49" s="40" t="n"/>
      <c r="C49" s="41" t="n"/>
      <c r="D49" s="41" t="n"/>
      <c r="E49" s="40" t="n"/>
      <c r="F49" s="40" t="n"/>
      <c r="G49" s="41" t="n"/>
    </row>
    <row r="50" ht="15" customHeight="1" s="25">
      <c r="A50" s="40" t="n"/>
      <c r="B50" s="40" t="n"/>
      <c r="C50" s="41" t="n"/>
      <c r="D50" s="41" t="n"/>
      <c r="E50" s="40" t="n"/>
      <c r="F50" s="40" t="n"/>
      <c r="G50" s="41" t="n"/>
    </row>
    <row r="51" ht="15" customHeight="1" s="25">
      <c r="A51" s="40" t="n"/>
      <c r="B51" s="40" t="n"/>
      <c r="C51" s="41" t="n"/>
      <c r="D51" s="41" t="n"/>
      <c r="E51" s="40" t="n"/>
      <c r="F51" s="40" t="n"/>
      <c r="G51" s="41" t="n"/>
    </row>
    <row r="52" ht="15" customHeight="1" s="25">
      <c r="A52" s="40" t="n"/>
      <c r="B52" s="40" t="n"/>
      <c r="C52" s="41" t="n"/>
      <c r="D52" s="41" t="n"/>
      <c r="E52" s="40" t="n"/>
      <c r="F52" s="40" t="n"/>
      <c r="G52" s="41" t="n"/>
    </row>
    <row r="53" ht="15" customHeight="1" s="25">
      <c r="A53" s="40" t="n"/>
      <c r="B53" s="40" t="n"/>
      <c r="C53" s="41" t="n"/>
      <c r="D53" s="41" t="n"/>
      <c r="E53" s="40" t="n"/>
      <c r="F53" s="40" t="n"/>
      <c r="G53" s="41" t="n"/>
    </row>
    <row r="54" ht="15" customHeight="1" s="25">
      <c r="A54" s="40" t="n"/>
      <c r="B54" s="40" t="n"/>
      <c r="C54" s="41" t="n"/>
      <c r="D54" s="41" t="n"/>
      <c r="E54" s="40" t="n"/>
      <c r="F54" s="40" t="n"/>
      <c r="G54" s="41" t="n"/>
    </row>
    <row r="55" ht="15" customHeight="1" s="25">
      <c r="A55" s="40" t="n"/>
      <c r="B55" s="40" t="n"/>
      <c r="C55" s="41" t="n"/>
      <c r="D55" s="41" t="n"/>
      <c r="E55" s="40" t="n"/>
      <c r="F55" s="40" t="n"/>
      <c r="G55" s="41" t="n"/>
    </row>
    <row r="56" ht="15" customHeight="1" s="25">
      <c r="A56" s="40" t="n"/>
      <c r="B56" s="40" t="n"/>
      <c r="C56" s="41" t="n"/>
      <c r="D56" s="41" t="n"/>
      <c r="E56" s="40" t="n"/>
      <c r="F56" s="40" t="n"/>
      <c r="G56" s="41" t="n"/>
    </row>
    <row r="57" ht="15" customHeight="1" s="25">
      <c r="A57" s="40" t="n"/>
      <c r="B57" s="40" t="n"/>
      <c r="C57" s="41" t="n"/>
      <c r="D57" s="41" t="n"/>
      <c r="E57" s="40" t="n"/>
      <c r="F57" s="40" t="n"/>
      <c r="G57" s="41" t="n"/>
    </row>
    <row r="58" ht="15" customHeight="1" s="25">
      <c r="A58" s="40" t="n"/>
      <c r="B58" s="40" t="n"/>
      <c r="C58" s="41" t="n"/>
      <c r="D58" s="41" t="n"/>
      <c r="E58" s="40" t="n"/>
      <c r="F58" s="40" t="n"/>
      <c r="G58" s="41" t="n"/>
    </row>
    <row r="59" ht="15" customHeight="1" s="25">
      <c r="A59" s="40" t="n"/>
      <c r="B59" s="40" t="n"/>
      <c r="C59" s="41" t="n"/>
      <c r="D59" s="41" t="n"/>
      <c r="E59" s="40" t="n"/>
      <c r="F59" s="40" t="n"/>
      <c r="G59" s="41" t="n"/>
    </row>
    <row r="60" ht="15" customHeight="1" s="25">
      <c r="A60" s="40" t="n"/>
      <c r="B60" s="40" t="n"/>
      <c r="C60" s="41" t="n"/>
      <c r="D60" s="41" t="n"/>
      <c r="E60" s="40" t="n"/>
      <c r="F60" s="40" t="n"/>
      <c r="G60" s="41" t="n"/>
    </row>
    <row r="61" ht="21.75" customHeight="1" s="25">
      <c r="A61" s="42" t="n"/>
      <c r="B61" s="39" t="n"/>
      <c r="C61" s="39" t="n"/>
      <c r="D61" s="39" t="n"/>
      <c r="E61" s="39" t="n"/>
      <c r="F61" s="39" t="n"/>
      <c r="G61" s="43" t="n"/>
    </row>
    <row r="62" ht="15" customHeight="1" s="25">
      <c r="A62" s="40" t="n"/>
      <c r="B62" s="40" t="n"/>
      <c r="C62" s="41" t="n"/>
      <c r="D62" s="41" t="n"/>
      <c r="E62" s="40" t="n"/>
      <c r="F62" s="40" t="n"/>
      <c r="G62" s="41" t="n"/>
    </row>
    <row r="63" ht="15" customHeight="1" s="25">
      <c r="A63" s="40" t="n"/>
      <c r="B63" s="40" t="n"/>
      <c r="C63" s="41" t="n"/>
      <c r="D63" s="41" t="n"/>
      <c r="E63" s="40" t="n"/>
      <c r="F63" s="40" t="n"/>
      <c r="G63" s="41" t="n"/>
    </row>
    <row r="64" ht="15" customHeight="1" s="25">
      <c r="A64" s="40" t="n"/>
      <c r="B64" s="40" t="n"/>
      <c r="C64" s="41" t="n"/>
      <c r="D64" s="41" t="n"/>
      <c r="E64" s="40" t="n"/>
      <c r="F64" s="40" t="n"/>
      <c r="G64" s="41" t="n"/>
    </row>
    <row r="65" ht="15" customHeight="1" s="25">
      <c r="A65" s="40" t="n"/>
      <c r="B65" s="40" t="n"/>
      <c r="C65" s="41" t="n"/>
      <c r="D65" s="41" t="n"/>
      <c r="E65" s="40" t="n"/>
      <c r="F65" s="40" t="n"/>
      <c r="G65" s="41" t="n"/>
    </row>
    <row r="66" ht="15" customHeight="1" s="25">
      <c r="A66" s="40" t="n"/>
      <c r="B66" s="40" t="n"/>
      <c r="C66" s="41" t="n"/>
      <c r="D66" s="41" t="n"/>
      <c r="E66" s="40" t="n"/>
      <c r="F66" s="40" t="n"/>
      <c r="G66" s="41" t="n"/>
    </row>
    <row r="67" ht="15" customHeight="1" s="25">
      <c r="A67" s="40" t="n"/>
      <c r="B67" s="40" t="n"/>
      <c r="C67" s="41" t="n"/>
      <c r="D67" s="41" t="n"/>
      <c r="E67" s="40" t="n"/>
      <c r="F67" s="40" t="n"/>
      <c r="G67" s="41" t="n"/>
    </row>
    <row r="68" ht="15" customHeight="1" s="25">
      <c r="A68" s="40" t="n"/>
      <c r="B68" s="40" t="n"/>
      <c r="C68" s="41" t="n"/>
      <c r="D68" s="41" t="n"/>
      <c r="E68" s="40" t="n"/>
      <c r="F68" s="40" t="n"/>
      <c r="G68" s="41" t="n"/>
    </row>
    <row r="69" ht="15" customHeight="1" s="25">
      <c r="A69" s="40" t="n"/>
      <c r="B69" s="40" t="n"/>
      <c r="C69" s="41" t="n"/>
      <c r="D69" s="41" t="n"/>
      <c r="E69" s="40" t="n"/>
      <c r="F69" s="40" t="n"/>
      <c r="G69" s="41" t="n"/>
    </row>
    <row r="70" ht="15" customHeight="1" s="25">
      <c r="A70" s="40" t="n"/>
      <c r="B70" s="40" t="n"/>
      <c r="C70" s="41" t="n"/>
      <c r="D70" s="41" t="n"/>
      <c r="E70" s="40" t="n"/>
      <c r="F70" s="40" t="n"/>
      <c r="G70" s="41" t="n"/>
    </row>
    <row r="71" ht="15" customHeight="1" s="25">
      <c r="A71" s="40" t="n"/>
      <c r="B71" s="40" t="n"/>
      <c r="C71" s="41" t="n"/>
      <c r="D71" s="41" t="n"/>
      <c r="E71" s="40" t="n"/>
      <c r="F71" s="40" t="n"/>
      <c r="G71" s="41" t="n"/>
    </row>
    <row r="72" ht="15" customHeight="1" s="25">
      <c r="A72" s="40" t="n"/>
      <c r="B72" s="40" t="n"/>
      <c r="C72" s="41" t="n"/>
      <c r="D72" s="41" t="n"/>
      <c r="E72" s="40" t="n"/>
      <c r="F72" s="40" t="n"/>
      <c r="G72" s="41" t="n"/>
    </row>
    <row r="73" ht="15" customHeight="1" s="25">
      <c r="A73" s="40" t="n"/>
      <c r="B73" s="40" t="n"/>
      <c r="C73" s="41" t="n"/>
      <c r="D73" s="41" t="n"/>
      <c r="E73" s="40" t="n"/>
      <c r="F73" s="40" t="n"/>
      <c r="G73" s="41" t="n"/>
    </row>
    <row r="74" ht="15" customHeight="1" s="25">
      <c r="A74" s="40" t="n"/>
      <c r="B74" s="40" t="n"/>
      <c r="C74" s="41" t="n"/>
      <c r="D74" s="41" t="n"/>
      <c r="E74" s="40" t="n"/>
      <c r="F74" s="40" t="n"/>
      <c r="G74" s="41" t="n"/>
    </row>
    <row r="75" ht="15" customHeight="1" s="25">
      <c r="A75" s="40" t="n"/>
      <c r="B75" s="40" t="n"/>
      <c r="C75" s="41" t="n"/>
      <c r="D75" s="41" t="n"/>
      <c r="E75" s="40" t="n"/>
      <c r="F75" s="40" t="n"/>
      <c r="G75" s="41" t="n"/>
    </row>
    <row r="76" ht="15" customHeight="1" s="25">
      <c r="A76" s="40" t="n"/>
      <c r="B76" s="40" t="n"/>
      <c r="C76" s="41" t="n"/>
      <c r="D76" s="41" t="n"/>
      <c r="E76" s="40" t="n"/>
      <c r="F76" s="40" t="n"/>
      <c r="G76" s="41" t="n"/>
    </row>
    <row r="77" ht="15" customHeight="1" s="25">
      <c r="A77" s="40" t="n"/>
      <c r="B77" s="40" t="n"/>
      <c r="C77" s="41" t="n"/>
      <c r="D77" s="41" t="n"/>
      <c r="E77" s="40" t="n"/>
      <c r="F77" s="40" t="n"/>
      <c r="G77" s="41" t="n"/>
    </row>
    <row r="78" ht="15" customHeight="1" s="25">
      <c r="A78" s="40" t="n"/>
      <c r="B78" s="40" t="n"/>
      <c r="C78" s="41" t="n"/>
      <c r="D78" s="41" t="n"/>
      <c r="E78" s="40" t="n"/>
      <c r="F78" s="40" t="n"/>
      <c r="G78" s="41" t="n"/>
    </row>
    <row r="79" ht="15" customHeight="1" s="25">
      <c r="A79" s="40" t="n"/>
      <c r="B79" s="40" t="n"/>
      <c r="C79" s="41" t="n"/>
      <c r="D79" s="41" t="n"/>
      <c r="E79" s="40" t="n"/>
      <c r="F79" s="40" t="n"/>
      <c r="G79" s="41" t="n"/>
    </row>
    <row r="80" ht="15" customHeight="1" s="25">
      <c r="A80" s="40" t="n"/>
      <c r="B80" s="40" t="n"/>
      <c r="C80" s="41" t="n"/>
      <c r="D80" s="41" t="n"/>
      <c r="E80" s="40" t="n"/>
      <c r="F80" s="40" t="n"/>
      <c r="G80" s="41" t="n"/>
    </row>
    <row r="81" ht="15" customHeight="1" s="25">
      <c r="A81" s="40" t="n"/>
      <c r="B81" s="40" t="n"/>
      <c r="C81" s="41" t="n"/>
      <c r="D81" s="41" t="n"/>
      <c r="E81" s="40" t="n"/>
      <c r="F81" s="40" t="n"/>
      <c r="G81" s="41" t="n"/>
    </row>
    <row r="82" ht="15" customHeight="1" s="25">
      <c r="A82" s="40" t="n"/>
      <c r="B82" s="40" t="n"/>
      <c r="C82" s="41" t="n"/>
      <c r="D82" s="41" t="n"/>
      <c r="E82" s="40" t="n"/>
      <c r="F82" s="40" t="n"/>
      <c r="G82" s="41" t="n"/>
    </row>
    <row r="83" ht="15" customHeight="1" s="25">
      <c r="A83" s="40" t="n"/>
      <c r="B83" s="40" t="n"/>
      <c r="C83" s="41" t="n"/>
      <c r="D83" s="41" t="n"/>
      <c r="E83" s="40" t="n"/>
      <c r="F83" s="40" t="n"/>
      <c r="G83" s="41" t="n"/>
    </row>
    <row r="84" ht="15" customHeight="1" s="25">
      <c r="A84" s="40" t="n"/>
      <c r="B84" s="40" t="n"/>
      <c r="C84" s="41" t="n"/>
      <c r="D84" s="41" t="n"/>
      <c r="E84" s="40" t="n"/>
      <c r="F84" s="40" t="n"/>
      <c r="G84" s="41" t="n"/>
    </row>
    <row r="85" ht="15" customHeight="1" s="25">
      <c r="A85" s="40" t="n"/>
      <c r="B85" s="40" t="n"/>
      <c r="C85" s="41" t="n"/>
      <c r="D85" s="41" t="n"/>
      <c r="E85" s="40" t="n"/>
      <c r="F85" s="40" t="n"/>
      <c r="G85" s="41" t="n"/>
    </row>
    <row r="86" ht="15" customHeight="1" s="25">
      <c r="A86" s="40" t="n"/>
      <c r="B86" s="40" t="n"/>
      <c r="C86" s="41" t="n"/>
      <c r="D86" s="41" t="n"/>
      <c r="E86" s="40" t="n"/>
      <c r="F86" s="40" t="n"/>
      <c r="G86" s="41" t="n"/>
    </row>
    <row r="87" ht="15" customHeight="1" s="25">
      <c r="A87" s="40" t="n"/>
      <c r="B87" s="40" t="n"/>
      <c r="C87" s="41" t="n"/>
      <c r="D87" s="41" t="n"/>
      <c r="E87" s="40" t="n"/>
      <c r="F87" s="40" t="n"/>
      <c r="G87" s="41" t="n"/>
    </row>
    <row r="88" ht="15" customHeight="1" s="25">
      <c r="A88" s="40" t="n"/>
      <c r="B88" s="40" t="n"/>
      <c r="C88" s="41" t="n"/>
      <c r="D88" s="41" t="n"/>
      <c r="E88" s="40" t="n"/>
      <c r="F88" s="40" t="n"/>
      <c r="G88" s="41" t="n"/>
    </row>
    <row r="89" ht="15" customHeight="1" s="25">
      <c r="A89" s="40" t="n"/>
      <c r="B89" s="40" t="n"/>
      <c r="C89" s="41" t="n"/>
      <c r="D89" s="41" t="n"/>
      <c r="E89" s="40" t="n"/>
      <c r="F89" s="40" t="n"/>
      <c r="G89" s="41" t="n"/>
    </row>
    <row r="90" ht="15" customHeight="1" s="25">
      <c r="A90" s="40" t="n"/>
      <c r="B90" s="40" t="n"/>
      <c r="C90" s="41" t="n"/>
      <c r="D90" s="41" t="n"/>
      <c r="E90" s="40" t="n"/>
      <c r="F90" s="40" t="n"/>
      <c r="G90" s="41" t="n"/>
    </row>
    <row r="91" ht="15" customHeight="1" s="25">
      <c r="A91" s="40" t="n"/>
      <c r="B91" s="40" t="n"/>
      <c r="C91" s="41" t="n"/>
      <c r="D91" s="41" t="n"/>
      <c r="E91" s="40" t="n"/>
      <c r="F91" s="40" t="n"/>
      <c r="G91" s="41" t="n"/>
    </row>
    <row r="92" ht="15" customHeight="1" s="25">
      <c r="A92" s="40" t="n"/>
      <c r="B92" s="40" t="n"/>
      <c r="C92" s="41" t="n"/>
      <c r="D92" s="41" t="n"/>
      <c r="E92" s="40" t="n"/>
      <c r="F92" s="40" t="n"/>
      <c r="G92" s="41" t="n"/>
    </row>
    <row r="93" ht="15" customHeight="1" s="25">
      <c r="A93" s="40" t="n"/>
      <c r="B93" s="40" t="n"/>
      <c r="C93" s="41" t="n"/>
      <c r="D93" s="41" t="n"/>
      <c r="E93" s="40" t="n"/>
      <c r="F93" s="40" t="n"/>
      <c r="G93" s="41" t="n"/>
    </row>
    <row r="94" ht="15" customHeight="1" s="25">
      <c r="A94" s="40" t="n"/>
      <c r="B94" s="40" t="n"/>
      <c r="C94" s="41" t="n"/>
      <c r="D94" s="41" t="n"/>
      <c r="E94" s="40" t="n"/>
      <c r="F94" s="40" t="n"/>
      <c r="G94" s="41" t="n"/>
    </row>
    <row r="95" ht="15" customHeight="1" s="25">
      <c r="A95" s="40" t="n"/>
      <c r="B95" s="40" t="n"/>
      <c r="C95" s="41" t="n"/>
      <c r="D95" s="41" t="n"/>
      <c r="E95" s="40" t="n"/>
      <c r="F95" s="40" t="n"/>
      <c r="G95" s="41" t="n"/>
    </row>
    <row r="96" ht="15" customHeight="1" s="25">
      <c r="A96" s="40" t="n"/>
      <c r="B96" s="40" t="n"/>
      <c r="C96" s="41" t="n"/>
      <c r="D96" s="41" t="n"/>
      <c r="E96" s="40" t="n"/>
      <c r="F96" s="40" t="n"/>
      <c r="G96" s="41" t="n"/>
    </row>
    <row r="97" ht="15" customHeight="1" s="25">
      <c r="A97" s="40" t="n"/>
      <c r="B97" s="40" t="n"/>
      <c r="C97" s="41" t="n"/>
      <c r="D97" s="41" t="n"/>
      <c r="E97" s="40" t="n"/>
      <c r="F97" s="40" t="n"/>
      <c r="G97" s="41" t="n"/>
    </row>
    <row r="98" ht="15" customHeight="1" s="25">
      <c r="A98" s="40" t="n"/>
      <c r="B98" s="40" t="n"/>
      <c r="C98" s="41" t="n"/>
      <c r="D98" s="41" t="n"/>
      <c r="E98" s="40" t="n"/>
      <c r="F98" s="40" t="n"/>
      <c r="G98" s="41" t="n"/>
    </row>
    <row r="99" ht="15" customHeight="1" s="25">
      <c r="A99" s="40" t="n"/>
      <c r="B99" s="40" t="n"/>
      <c r="C99" s="41" t="n"/>
      <c r="D99" s="41" t="n"/>
      <c r="E99" s="40" t="n"/>
      <c r="F99" s="40" t="n"/>
      <c r="G99" s="41" t="n"/>
    </row>
    <row r="100" ht="15" customHeight="1" s="25">
      <c r="A100" s="40" t="n"/>
      <c r="B100" s="40" t="n"/>
      <c r="C100" s="41" t="n"/>
      <c r="D100" s="41" t="n"/>
      <c r="E100" s="40" t="n"/>
      <c r="F100" s="40" t="n"/>
      <c r="G100" s="41" t="n"/>
    </row>
    <row r="101" ht="15" customHeight="1" s="25">
      <c r="A101" s="40" t="n"/>
      <c r="B101" s="40" t="n"/>
      <c r="C101" s="41" t="n"/>
      <c r="D101" s="41" t="n"/>
      <c r="E101" s="40" t="n"/>
      <c r="F101" s="40" t="n"/>
      <c r="G101" s="41" t="n"/>
    </row>
    <row r="102" ht="15" customHeight="1" s="25">
      <c r="A102" s="40" t="n"/>
      <c r="B102" s="40" t="n"/>
      <c r="C102" s="41" t="n"/>
      <c r="D102" s="41" t="n"/>
      <c r="E102" s="40" t="n"/>
      <c r="F102" s="40" t="n"/>
      <c r="G102" s="41" t="n"/>
    </row>
    <row r="103" ht="15" customHeight="1" s="25">
      <c r="A103" s="40" t="n"/>
      <c r="B103" s="40" t="n"/>
      <c r="C103" s="41" t="n"/>
      <c r="D103" s="41" t="n"/>
      <c r="E103" s="40" t="n"/>
      <c r="F103" s="40" t="n"/>
      <c r="G103" s="41" t="n"/>
    </row>
    <row r="104" ht="15" customHeight="1" s="25">
      <c r="A104" s="40" t="n"/>
      <c r="B104" s="40" t="n"/>
      <c r="C104" s="41" t="n"/>
      <c r="D104" s="41" t="n"/>
      <c r="E104" s="40" t="n"/>
      <c r="F104" s="40" t="n"/>
      <c r="G104" s="41" t="n"/>
    </row>
    <row r="105" ht="15" customHeight="1" s="25">
      <c r="A105" s="40" t="n"/>
      <c r="B105" s="40" t="n"/>
      <c r="C105" s="41" t="n"/>
      <c r="D105" s="41" t="n"/>
      <c r="E105" s="40" t="n"/>
      <c r="F105" s="40" t="n"/>
      <c r="G105" s="41" t="n"/>
    </row>
    <row r="106" ht="15" customHeight="1" s="25">
      <c r="A106" s="40" t="n"/>
      <c r="B106" s="40" t="n"/>
      <c r="C106" s="41" t="n"/>
      <c r="D106" s="41" t="n"/>
      <c r="E106" s="40" t="n"/>
      <c r="F106" s="40" t="n"/>
      <c r="G106" s="41" t="n"/>
    </row>
    <row r="107" ht="15" customHeight="1" s="25">
      <c r="A107" s="40" t="n"/>
      <c r="B107" s="40" t="n"/>
      <c r="C107" s="41" t="n"/>
      <c r="D107" s="41" t="n"/>
      <c r="E107" s="40" t="n"/>
      <c r="F107" s="40" t="n"/>
      <c r="G107" s="41" t="n"/>
    </row>
    <row r="108" ht="15" customHeight="1" s="25">
      <c r="A108" s="40" t="n"/>
      <c r="B108" s="40" t="n"/>
      <c r="C108" s="41" t="n"/>
      <c r="D108" s="41" t="n"/>
      <c r="E108" s="40" t="n"/>
      <c r="F108" s="40" t="n"/>
      <c r="G108" s="41" t="n"/>
    </row>
    <row r="109" ht="15" customHeight="1" s="25">
      <c r="A109" s="40" t="n"/>
      <c r="B109" s="40" t="n"/>
      <c r="C109" s="41" t="n"/>
      <c r="D109" s="41" t="n"/>
      <c r="E109" s="40" t="n"/>
      <c r="F109" s="40" t="n"/>
      <c r="G109" s="41" t="n"/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  <c r="AG12" s="24" t="inlineStr">
        <is>
          <t>_Seq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  <c r="AG13" s="24">
        <f>IF(AND(A13&lt;&gt;"",E13&lt;&gt;"Completed"),COUNTIFS(A$13:A13,"&lt;&gt;",E$13:E13,"&lt;&gt;Completed"),"")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  <c r="AG14" s="24">
        <f>IF(AND(A14&lt;&gt;"",E14&lt;&gt;"Completed"),COUNTIFS(A$13:A14,"&lt;&gt;",E$13:E14,"&lt;&gt;Completed"),"")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  <c r="AG15" s="24">
        <f>IF(AND(A15&lt;&gt;"",E15&lt;&gt;"Completed"),COUNTIFS(A$13:A15,"&lt;&gt;",E$13:E15,"&lt;&gt;Completed"),"")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  <c r="AG16" s="24">
        <f>IF(AND(A16&lt;&gt;"",E16&lt;&gt;"Completed"),COUNTIFS(A$13:A16,"&lt;&gt;",E$13:E16,"&lt;&gt;Completed"),"")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  <c r="AG17" s="24">
        <f>IF(AND(A17&lt;&gt;"",E17&lt;&gt;"Completed"),COUNTIFS(A$13:A17,"&lt;&gt;",E$13:E17,"&lt;&gt;Completed"),"")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  <c r="AG18" s="24">
        <f>IF(AND(A18&lt;&gt;"",E18&lt;&gt;"Completed"),COUNTIFS(A$13:A18,"&lt;&gt;",E$13:E18,"&lt;&gt;Completed"),"")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  <c r="AG19" s="24">
        <f>IF(AND(A19&lt;&gt;"",E19&lt;&gt;"Completed"),COUNTIFS(A$13:A19,"&lt;&gt;",E$13:E19,"&lt;&gt;Completed"),"")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  <c r="AG20" s="24">
        <f>IF(AND(A20&lt;&gt;"",E20&lt;&gt;"Completed"),COUNTIFS(A$13:A20,"&lt;&gt;",E$13:E20,"&lt;&gt;Completed"),"")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  <c r="AG21" s="24">
        <f>IF(AND(A21&lt;&gt;"",E21&lt;&gt;"Completed"),COUNTIFS(A$13:A21,"&lt;&gt;",E$13:E21,"&lt;&gt;Completed"),"")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  <c r="AG22" s="24">
        <f>IF(AND(A22&lt;&gt;"",E22&lt;&gt;"Completed"),COUNTIFS(A$13:A22,"&lt;&gt;",E$13:E22,"&lt;&gt;Completed"),"")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  <c r="AG23" s="24">
        <f>IF(AND(A23&lt;&gt;"",E23&lt;&gt;"Completed"),COUNTIFS(A$13:A23,"&lt;&gt;",E$13:E23,"&lt;&gt;Completed"),"")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  <c r="AG24" s="24">
        <f>IF(AND(A24&lt;&gt;"",E24&lt;&gt;"Completed"),COUNTIFS(A$13:A24,"&lt;&gt;",E$13:E24,"&lt;&gt;Completed"),"")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  <c r="AG25" s="24">
        <f>IF(AND(A25&lt;&gt;"",E25&lt;&gt;"Completed"),COUNTIFS(A$13:A25,"&lt;&gt;",E$13:E25,"&lt;&gt;Completed"),"")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  <c r="AG26" s="24">
        <f>IF(AND(A26&lt;&gt;"",E26&lt;&gt;"Completed"),COUNTIFS(A$13:A26,"&lt;&gt;",E$13:E26,"&lt;&gt;Completed"),"")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  <c r="AG27" s="24">
        <f>IF(AND(A27&lt;&gt;"",E27&lt;&gt;"Completed"),COUNTIFS(A$13:A27,"&lt;&gt;",E$13:E27,"&lt;&gt;Completed"),"")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  <c r="AG28" s="24">
        <f>IF(AND(A28&lt;&gt;"",E28&lt;&gt;"Completed"),COUNTIFS(A$13:A28,"&lt;&gt;",E$13:E28,"&lt;&gt;Completed"),"")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  <c r="AG29" s="24">
        <f>IF(AND(A29&lt;&gt;"",E29&lt;&gt;"Completed"),COUNTIFS(A$13:A29,"&lt;&gt;",E$13:E29,"&lt;&gt;Completed"),"")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  <c r="AG30" s="24">
        <f>IF(AND(A30&lt;&gt;"",E30&lt;&gt;"Completed"),COUNTIFS(A$13:A30,"&lt;&gt;",E$13:E30,"&lt;&gt;Completed"),"")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  <c r="AG31" s="24">
        <f>IF(AND(A31&lt;&gt;"",E31&lt;&gt;"Completed"),COUNTIFS(A$13:A31,"&lt;&gt;",E$13:E31,"&lt;&gt;Completed"),"")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  <c r="AG32" s="24">
        <f>IF(AND(A32&lt;&gt;"",E32&lt;&gt;"Completed"),COUNTIFS(A$13:A32,"&lt;&gt;",E$13:E32,"&lt;&gt;Completed"),"")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  <c r="AG33" s="24">
        <f>IF(AND(A33&lt;&gt;"",E33&lt;&gt;"Completed"),COUNTIFS(A$13:A33,"&lt;&gt;",E$13:E33,"&lt;&gt;Completed"),"")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  <c r="AG34" s="24">
        <f>IF(AND(A34&lt;&gt;"",E34&lt;&gt;"Completed"),COUNTIFS(A$13:A34,"&lt;&gt;",E$13:E34,"&lt;&gt;Completed"),"")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  <c r="AG35" s="24">
        <f>IF(AND(A35&lt;&gt;"",E35&lt;&gt;"Completed"),COUNTIFS(A$13:A35,"&lt;&gt;",E$13:E35,"&lt;&gt;Completed"),"")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  <c r="AG36" s="24">
        <f>IF(AND(A36&lt;&gt;"",E36&lt;&gt;"Completed"),COUNTIFS(A$13:A36,"&lt;&gt;",E$13:E36,"&lt;&gt;Completed"),"")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  <c r="AG37" s="24">
        <f>IF(AND(A37&lt;&gt;"",E37&lt;&gt;"Completed"),COUNTIFS(A$13:A37,"&lt;&gt;",E$13:E37,"&lt;&gt;Completed"),"")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  <c r="AG38" s="24">
        <f>IF(AND(A38&lt;&gt;"",E38&lt;&gt;"Completed"),COUNTIFS(A$13:A38,"&lt;&gt;",E$13:E38,"&lt;&gt;Completed"),"")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  <c r="AG39" s="24">
        <f>IF(AND(A39&lt;&gt;"",E39&lt;&gt;"Completed"),COUNTIFS(A$13:A39,"&lt;&gt;",E$13:E39,"&lt;&gt;Completed"),"")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  <c r="AG40" s="24">
        <f>IF(AND(A40&lt;&gt;"",E40&lt;&gt;"Completed"),COUNTIFS(A$13:A40,"&lt;&gt;",E$13:E40,"&lt;&gt;Completed"),"")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  <c r="AG41" s="24">
        <f>IF(AND(A41&lt;&gt;"",E41&lt;&gt;"Completed"),COUNTIFS(A$13:A41,"&lt;&gt;",E$13:E41,"&lt;&gt;Completed"),"")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  <c r="AG42" s="24">
        <f>IF(AND(A42&lt;&gt;"",E42&lt;&gt;"Completed"),COUNTIFS(A$13:A42,"&lt;&gt;",E$13:E42,"&lt;&gt;Completed"),"")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  <c r="AG43" s="24">
        <f>IF(AND(A43&lt;&gt;"",E43&lt;&gt;"Completed"),COUNTIFS(A$13:A43,"&lt;&gt;",E$13:E43,"&lt;&gt;Completed"),"")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  <c r="AG44" s="24">
        <f>IF(AND(A44&lt;&gt;"",E44&lt;&gt;"Completed"),COUNTIFS(A$13:A44,"&lt;&gt;",E$13:E44,"&lt;&gt;Completed"),"")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  <c r="AG45" s="24">
        <f>IF(AND(A45&lt;&gt;"",E45&lt;&gt;"Completed"),COUNTIFS(A$13:A45,"&lt;&gt;",E$13:E45,"&lt;&gt;Completed"),"")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  <c r="AG46" s="24">
        <f>IF(AND(A46&lt;&gt;"",E46&lt;&gt;"Completed"),COUNTIFS(A$13:A46,"&lt;&gt;",E$13:E46,"&lt;&gt;Completed"),"")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  <c r="AG47" s="24">
        <f>IF(AND(A47&lt;&gt;"",E47&lt;&gt;"Completed"),COUNTIFS(A$13:A47,"&lt;&gt;",E$13:E47,"&lt;&gt;Completed"),"")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  <c r="AG48" s="24">
        <f>IF(AND(A48&lt;&gt;"",E48&lt;&gt;"Completed"),COUNTIFS(A$13:A48,"&lt;&gt;",E$13:E48,"&lt;&gt;Completed"),"")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  <c r="AG49" s="24">
        <f>IF(AND(A49&lt;&gt;"",E49&lt;&gt;"Completed"),COUNTIFS(A$13:A49,"&lt;&gt;",E$13:E49,"&lt;&gt;Completed"),"")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  <c r="AG50" s="24">
        <f>IF(AND(A50&lt;&gt;"",E50&lt;&gt;"Completed"),COUNTIFS(A$13:A50,"&lt;&gt;",E$13:E50,"&lt;&gt;Completed"),"")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  <c r="AG51" s="24">
        <f>IF(AND(A51&lt;&gt;"",E51&lt;&gt;"Completed"),COUNTIFS(A$13:A51,"&lt;&gt;",E$13:E51,"&lt;&gt;Completed"),"")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  <c r="AG52" s="24">
        <f>IF(AND(A52&lt;&gt;"",E52&lt;&gt;"Completed"),COUNTIFS(A$13:A52,"&lt;&gt;",E$13:E52,"&lt;&gt;Completed"),"")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  <c r="AG53" s="24">
        <f>IF(AND(A53&lt;&gt;"",E53&lt;&gt;"Completed"),COUNTIFS(A$13:A53,"&lt;&gt;",E$13:E53,"&lt;&gt;Completed"),"")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  <c r="AG54" s="24">
        <f>IF(AND(A54&lt;&gt;"",E54&lt;&gt;"Completed"),COUNTIFS(A$13:A54,"&lt;&gt;",E$13:E54,"&lt;&gt;Completed"),"")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  <c r="AG55" s="24">
        <f>IF(AND(A55&lt;&gt;"",E55&lt;&gt;"Completed"),COUNTIFS(A$13:A55,"&lt;&gt;",E$13:E55,"&lt;&gt;Completed"),"")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  <c r="AG56" s="24">
        <f>IF(AND(A56&lt;&gt;"",E56&lt;&gt;"Completed"),COUNTIFS(A$13:A56,"&lt;&gt;",E$13:E56,"&lt;&gt;Completed"),"")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  <c r="AG57" s="24">
        <f>IF(AND(A57&lt;&gt;"",E57&lt;&gt;"Completed"),COUNTIFS(A$13:A57,"&lt;&gt;",E$13:E57,"&lt;&gt;Completed"),"")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  <c r="AG58" s="24">
        <f>IF(AND(A58&lt;&gt;"",E58&lt;&gt;"Completed"),COUNTIFS(A$13:A58,"&lt;&gt;",E$13:E58,"&lt;&gt;Completed"),"")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  <c r="AG59" s="24">
        <f>IF(AND(A59&lt;&gt;"",E59&lt;&gt;"Completed"),COUNTIFS(A$13:A59,"&lt;&gt;",E$13:E59,"&lt;&gt;Completed"),"")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  <c r="AG60" s="24">
        <f>IF(AND(A60&lt;&gt;"",E60&lt;&gt;"Completed"),COUNTIFS(A$13:A60,"&lt;&gt;",E$13:E60,"&lt;&gt;Completed"),"")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  <c r="AG61" s="24">
        <f>IF(AND(A61&lt;&gt;"",E61&lt;&gt;"Completed"),COUNTIFS(A$13:A61,"&lt;&gt;",E$13:E61,"&lt;&gt;Completed"),"")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  <c r="AG62" s="24">
        <f>IF(AND(A62&lt;&gt;"",E62&lt;&gt;"Completed"),COUNTIFS(A$13:A62,"&lt;&gt;",E$13:E62,"&lt;&gt;Completed"),"")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C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  <c r="AC12" s="24" t="inlineStr">
        <is>
          <t>_Seq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  <c r="AC13" s="24">
        <f>IF(AND(A13&lt;&gt;"",E13&lt;&gt;"Completed"),COUNTIFS(A$13:A13,"&lt;&gt;",E$13:E13,"&lt;&gt;Completed"),"")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  <c r="AC14" s="24">
        <f>IF(AND(A14&lt;&gt;"",E14&lt;&gt;"Completed"),COUNTIFS(A$13:A14,"&lt;&gt;",E$13:E14,"&lt;&gt;Completed"),"")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  <c r="AC15" s="24">
        <f>IF(AND(A15&lt;&gt;"",E15&lt;&gt;"Completed"),COUNTIFS(A$13:A15,"&lt;&gt;",E$13:E15,"&lt;&gt;Completed"),"")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  <c r="AC16" s="24">
        <f>IF(AND(A16&lt;&gt;"",E16&lt;&gt;"Completed"),COUNTIFS(A$13:A16,"&lt;&gt;",E$13:E16,"&lt;&gt;Completed"),"")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  <c r="AC17" s="24">
        <f>IF(AND(A17&lt;&gt;"",E17&lt;&gt;"Completed"),COUNTIFS(A$13:A17,"&lt;&gt;",E$13:E17,"&lt;&gt;Completed"),"")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  <c r="AC18" s="24">
        <f>IF(AND(A18&lt;&gt;"",E18&lt;&gt;"Completed"),COUNTIFS(A$13:A18,"&lt;&gt;",E$13:E18,"&lt;&gt;Completed"),"")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  <c r="AC19" s="24">
        <f>IF(AND(A19&lt;&gt;"",E19&lt;&gt;"Completed"),COUNTIFS(A$13:A19,"&lt;&gt;",E$13:E19,"&lt;&gt;Completed"),"")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  <c r="AC20" s="24">
        <f>IF(AND(A20&lt;&gt;"",E20&lt;&gt;"Completed"),COUNTIFS(A$13:A20,"&lt;&gt;",E$13:E20,"&lt;&gt;Completed"),"")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  <c r="AC21" s="24">
        <f>IF(AND(A21&lt;&gt;"",E21&lt;&gt;"Completed"),COUNTIFS(A$13:A21,"&lt;&gt;",E$13:E21,"&lt;&gt;Completed"),"")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  <c r="AC22" s="24">
        <f>IF(AND(A22&lt;&gt;"",E22&lt;&gt;"Completed"),COUNTIFS(A$13:A22,"&lt;&gt;",E$13:E22,"&lt;&gt;Completed"),"")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  <c r="AC23" s="24">
        <f>IF(AND(A23&lt;&gt;"",E23&lt;&gt;"Completed"),COUNTIFS(A$13:A23,"&lt;&gt;",E$13:E23,"&lt;&gt;Completed"),"")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  <c r="AC24" s="24">
        <f>IF(AND(A24&lt;&gt;"",E24&lt;&gt;"Completed"),COUNTIFS(A$13:A24,"&lt;&gt;",E$13:E24,"&lt;&gt;Completed"),"")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  <c r="AC25" s="24">
        <f>IF(AND(A25&lt;&gt;"",E25&lt;&gt;"Completed"),COUNTIFS(A$13:A25,"&lt;&gt;",E$13:E25,"&lt;&gt;Completed"),"")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  <c r="AC26" s="24">
        <f>IF(AND(A26&lt;&gt;"",E26&lt;&gt;"Completed"),COUNTIFS(A$13:A26,"&lt;&gt;",E$13:E26,"&lt;&gt;Completed"),"")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  <c r="AC27" s="24">
        <f>IF(AND(A27&lt;&gt;"",E27&lt;&gt;"Completed"),COUNTIFS(A$13:A27,"&lt;&gt;",E$13:E27,"&lt;&gt;Completed"),"")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  <c r="AC28" s="24">
        <f>IF(AND(A28&lt;&gt;"",E28&lt;&gt;"Completed"),COUNTIFS(A$13:A28,"&lt;&gt;",E$13:E28,"&lt;&gt;Completed"),"")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  <c r="AC29" s="24">
        <f>IF(AND(A29&lt;&gt;"",E29&lt;&gt;"Completed"),COUNTIFS(A$13:A29,"&lt;&gt;",E$13:E29,"&lt;&gt;Completed"),"")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  <c r="AC30" s="24">
        <f>IF(AND(A30&lt;&gt;"",E30&lt;&gt;"Completed"),COUNTIFS(A$13:A30,"&lt;&gt;",E$13:E30,"&lt;&gt;Completed"),"")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  <c r="AC31" s="24">
        <f>IF(AND(A31&lt;&gt;"",E31&lt;&gt;"Completed"),COUNTIFS(A$13:A31,"&lt;&gt;",E$13:E31,"&lt;&gt;Completed"),"")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  <c r="AC32" s="24">
        <f>IF(AND(A32&lt;&gt;"",E32&lt;&gt;"Completed"),COUNTIFS(A$13:A32,"&lt;&gt;",E$13:E32,"&lt;&gt;Completed"),"")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  <c r="AC33" s="24">
        <f>IF(AND(A33&lt;&gt;"",E33&lt;&gt;"Completed"),COUNTIFS(A$13:A33,"&lt;&gt;",E$13:E33,"&lt;&gt;Completed"),"")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  <c r="AC34" s="24">
        <f>IF(AND(A34&lt;&gt;"",E34&lt;&gt;"Completed"),COUNTIFS(A$13:A34,"&lt;&gt;",E$13:E34,"&lt;&gt;Completed"),"")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  <c r="AC35" s="24">
        <f>IF(AND(A35&lt;&gt;"",E35&lt;&gt;"Completed"),COUNTIFS(A$13:A35,"&lt;&gt;",E$13:E35,"&lt;&gt;Completed"),"")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  <c r="AC36" s="24">
        <f>IF(AND(A36&lt;&gt;"",E36&lt;&gt;"Completed"),COUNTIFS(A$13:A36,"&lt;&gt;",E$13:E36,"&lt;&gt;Completed"),"")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  <c r="AC37" s="24">
        <f>IF(AND(A37&lt;&gt;"",E37&lt;&gt;"Completed"),COUNTIFS(A$13:A37,"&lt;&gt;",E$13:E37,"&lt;&gt;Completed"),"")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  <c r="AC38" s="24">
        <f>IF(AND(A38&lt;&gt;"",E38&lt;&gt;"Completed"),COUNTIFS(A$13:A38,"&lt;&gt;",E$13:E38,"&lt;&gt;Completed"),"")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  <c r="AC39" s="24">
        <f>IF(AND(A39&lt;&gt;"",E39&lt;&gt;"Completed"),COUNTIFS(A$13:A39,"&lt;&gt;",E$13:E39,"&lt;&gt;Completed"),"")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  <c r="AC40" s="24">
        <f>IF(AND(A40&lt;&gt;"",E40&lt;&gt;"Completed"),COUNTIFS(A$13:A40,"&lt;&gt;",E$13:E40,"&lt;&gt;Completed"),"")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  <c r="AC41" s="24">
        <f>IF(AND(A41&lt;&gt;"",E41&lt;&gt;"Completed"),COUNTIFS(A$13:A41,"&lt;&gt;",E$13:E41,"&lt;&gt;Completed"),"")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  <c r="AC42" s="24">
        <f>IF(AND(A42&lt;&gt;"",E42&lt;&gt;"Completed"),COUNTIFS(A$13:A42,"&lt;&gt;",E$13:E42,"&lt;&gt;Completed"),"")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  <c r="AC43" s="24">
        <f>IF(AND(A43&lt;&gt;"",E43&lt;&gt;"Completed"),COUNTIFS(A$13:A43,"&lt;&gt;",E$13:E43,"&lt;&gt;Completed"),"")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  <c r="AC44" s="24">
        <f>IF(AND(A44&lt;&gt;"",E44&lt;&gt;"Completed"),COUNTIFS(A$13:A44,"&lt;&gt;",E$13:E44,"&lt;&gt;Completed"),"")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  <c r="AC45" s="24">
        <f>IF(AND(A45&lt;&gt;"",E45&lt;&gt;"Completed"),COUNTIFS(A$13:A45,"&lt;&gt;",E$13:E45,"&lt;&gt;Completed"),"")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  <c r="AC46" s="24">
        <f>IF(AND(A46&lt;&gt;"",E46&lt;&gt;"Completed"),COUNTIFS(A$13:A46,"&lt;&gt;",E$13:E46,"&lt;&gt;Completed"),"")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  <c r="AC47" s="24">
        <f>IF(AND(A47&lt;&gt;"",E47&lt;&gt;"Completed"),COUNTIFS(A$13:A47,"&lt;&gt;",E$13:E47,"&lt;&gt;Completed"),"")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  <c r="AC48" s="24">
        <f>IF(AND(A48&lt;&gt;"",E48&lt;&gt;"Completed"),COUNTIFS(A$13:A48,"&lt;&gt;",E$13:E48,"&lt;&gt;Completed"),"")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  <c r="AC49" s="24">
        <f>IF(AND(A49&lt;&gt;"",E49&lt;&gt;"Completed"),COUNTIFS(A$13:A49,"&lt;&gt;",E$13:E49,"&lt;&gt;Completed"),"")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  <c r="AC50" s="24">
        <f>IF(AND(A50&lt;&gt;"",E50&lt;&gt;"Completed"),COUNTIFS(A$13:A50,"&lt;&gt;",E$13:E50,"&lt;&gt;Completed"),"")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  <c r="AC51" s="24">
        <f>IF(AND(A51&lt;&gt;"",E51&lt;&gt;"Completed"),COUNTIFS(A$13:A51,"&lt;&gt;",E$13:E51,"&lt;&gt;Completed"),"")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  <c r="AC52" s="24">
        <f>IF(AND(A52&lt;&gt;"",E52&lt;&gt;"Completed"),COUNTIFS(A$13:A52,"&lt;&gt;",E$13:E52,"&lt;&gt;Completed"),"")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  <c r="AC53" s="24">
        <f>IF(AND(A53&lt;&gt;"",E53&lt;&gt;"Completed"),COUNTIFS(A$13:A53,"&lt;&gt;",E$13:E53,"&lt;&gt;Completed"),"")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  <c r="AC54" s="24">
        <f>IF(AND(A54&lt;&gt;"",E54&lt;&gt;"Completed"),COUNTIFS(A$13:A54,"&lt;&gt;",E$13:E54,"&lt;&gt;Completed"),"")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  <c r="AC55" s="24">
        <f>IF(AND(A55&lt;&gt;"",E55&lt;&gt;"Completed"),COUNTIFS(A$13:A55,"&lt;&gt;",E$13:E55,"&lt;&gt;Completed"),"")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  <c r="AC56" s="24">
        <f>IF(AND(A56&lt;&gt;"",E56&lt;&gt;"Completed"),COUNTIFS(A$13:A56,"&lt;&gt;",E$13:E56,"&lt;&gt;Completed"),"")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  <c r="AC57" s="24">
        <f>IF(AND(A57&lt;&gt;"",E57&lt;&gt;"Completed"),COUNTIFS(A$13:A57,"&lt;&gt;",E$13:E57,"&lt;&gt;Completed"),"")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  <c r="AC58" s="24">
        <f>IF(AND(A58&lt;&gt;"",E58&lt;&gt;"Completed"),COUNTIFS(A$13:A58,"&lt;&gt;",E$13:E58,"&lt;&gt;Completed"),"")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  <c r="AC59" s="24">
        <f>IF(AND(A59&lt;&gt;"",E59&lt;&gt;"Completed"),COUNTIFS(A$13:A59,"&lt;&gt;",E$13:E59,"&lt;&gt;Completed"),"")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  <c r="AC60" s="24">
        <f>IF(AND(A60&lt;&gt;"",E60&lt;&gt;"Completed"),COUNTIFS(A$13:A60,"&lt;&gt;",E$13:E60,"&lt;&gt;Completed"),"")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  <c r="AC61" s="24">
        <f>IF(AND(A61&lt;&gt;"",E61&lt;&gt;"Completed"),COUNTIFS(A$13:A61,"&lt;&gt;",E$13:E61,"&lt;&gt;Completed"),"")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  <c r="AC62" s="24">
        <f>IF(AND(A62&lt;&gt;"",E62&lt;&gt;"Completed"),COUNTIFS(A$13:A62,"&lt;&gt;",E$13:E62,"&lt;&gt;Completed"),"")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2026-04-29T18:39:44Z</dcterms:modified>
  <cp:revision>0</cp:revision>
</cp:coreProperties>
</file>