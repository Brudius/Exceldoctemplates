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New Tooling Jobs" sheetId="2" state="visible" r:id="rId4"/>
    <sheet name="Reorders" sheetId="3" state="visible" r:id="rId5"/>
    <sheet name="Customers" sheetId="4" state="visible" r:id="rId6"/>
    <sheet name="Molders" sheetId="5" state="visible" r:id="rId7"/>
    <sheet name="Mold Registry" sheetId="6" state="visible" r:id="rId8"/>
    <sheet name="Production Log" sheetId="7" state="visible" r:id="rId9"/>
  </sheets>
  <definedNames>
    <definedName function="false" hidden="true" localSheetId="0" name="_xlnm._FilterDatabase" vbProcedure="false">Dashboard!$A$9:$G$111</definedName>
    <definedName function="false" hidden="true" localSheetId="1" name="_xlnm._FilterDatabase" vbProcedure="false">'New Tooling Jobs'!$A$12:$V$62</definedName>
    <definedName function="false" hidden="true" localSheetId="2" name="_xlnm._FilterDatabase" vbProcedure="false">Reorders!$A$12:$R$62</definedName>
    <definedName function="false" hidden="false" name="CustomerList" vbProcedure="false">Customers!$B$2:$B$1000</definedName>
    <definedName function="false" hidden="false" name="MolderList" vbProcedure="false">Molders!$B$2:$B$1000</definedName>
    <definedName function="false" hidden="false" name="MoldList" vbProcedure="false">'Mold Registry'!$A$2:$A$1000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<sst xmlns="http://schemas.openxmlformats.org/spreadsheetml/2006/main" count="302" uniqueCount="191">
  <si>
    <t xml:space="preserve">Injection Mold Job Dashboard</t>
  </si>
  <si>
    <t xml:space="preserve">Combined view across New Tooling Jobs and Reorders. Click a tab below to edit underlying data.</t>
  </si>
  <si>
    <t xml:space="preserve">Active Jobs</t>
  </si>
  <si>
    <t xml:space="preserve">New Tooling</t>
  </si>
  <si>
    <t xml:space="preserve">Reorders</t>
  </si>
  <si>
    <t xml:space="preserve">Overdue</t>
  </si>
  <si>
    <t xml:space="preserve">Job #</t>
  </si>
  <si>
    <t xml:space="preserve">Job Type</t>
  </si>
  <si>
    <t xml:space="preserve">Customer</t>
  </si>
  <si>
    <t xml:space="preserve">Stage</t>
  </si>
  <si>
    <t xml:space="preserve">Customer PO #</t>
  </si>
  <si>
    <t xml:space="preserve">Molder PO #</t>
  </si>
  <si>
    <t xml:space="preserve">Next Action / Waiting On</t>
  </si>
  <si>
    <t xml:space="preserve">New Tooling Jobs</t>
  </si>
  <si>
    <t xml:space="preserve">Full 8-stage lifecycle: quote -&gt; PO -&gt; mold build -&gt; sample -&gt; production. Update only the white cells.</t>
  </si>
  <si>
    <t xml:space="preserve">Part Name</t>
  </si>
  <si>
    <t xml:space="preserve">Molder</t>
  </si>
  <si>
    <t xml:space="preserve">Owner</t>
  </si>
  <si>
    <t xml:space="preserve">Customer PO ($)</t>
  </si>
  <si>
    <t xml:space="preserve">Molder PO ($)</t>
  </si>
  <si>
    <t xml:space="preserve">Quote Sent Date</t>
  </si>
  <si>
    <t xml:space="preserve">Customer PO Date</t>
  </si>
  <si>
    <t xml:space="preserve">Molder PO Date</t>
  </si>
  <si>
    <t xml:space="preserve">Mold Ready Date</t>
  </si>
  <si>
    <t xml:space="preserve">Sample Ship Date</t>
  </si>
  <si>
    <t xml:space="preserve">Sample Approval Date</t>
  </si>
  <si>
    <t xml:space="preserve">Ship-By Date</t>
  </si>
  <si>
    <t xml:space="preserve">Sample Carrier</t>
  </si>
  <si>
    <t xml:space="preserve">Sample Tracking #</t>
  </si>
  <si>
    <t xml:space="preserve">Last Production Ship</t>
  </si>
  <si>
    <t xml:space="preserve">Notes</t>
  </si>
  <si>
    <t xml:space="preserve">Next Deadline</t>
  </si>
  <si>
    <t xml:space="preserve">Days Until Deadline</t>
  </si>
  <si>
    <t xml:space="preserve">JOB-2026-101</t>
  </si>
  <si>
    <t xml:space="preserve">Acme Industries</t>
  </si>
  <si>
    <t xml:space="preserve">Acme Lever Cap</t>
  </si>
  <si>
    <t xml:space="preserve">Precision Plastics LLC</t>
  </si>
  <si>
    <t xml:space="preserve">2. Quote Sent to Customer</t>
  </si>
  <si>
    <t xml:space="preserve">Andrew</t>
  </si>
  <si>
    <t xml:space="preserve">Awaiting customer PO</t>
  </si>
  <si>
    <t xml:space="preserve">JOB-2026-102</t>
  </si>
  <si>
    <t xml:space="preserve">Beacon Electronics</t>
  </si>
  <si>
    <t xml:space="preserve">Beacon Cover Rev3</t>
  </si>
  <si>
    <t xml:space="preserve">Summit Mold Works</t>
  </si>
  <si>
    <t xml:space="preserve">4. PO Issued to Molder</t>
  </si>
  <si>
    <t xml:space="preserve">PO-BE-3411</t>
  </si>
  <si>
    <t xml:space="preserve">PO-SUM-0992</t>
  </si>
  <si>
    <t xml:space="preserve">Mold kickoff meeting 5/4</t>
  </si>
  <si>
    <t xml:space="preserve">JOB-2026-103</t>
  </si>
  <si>
    <t xml:space="preserve">Drift Medical</t>
  </si>
  <si>
    <t xml:space="preserve">Drift Connector v2</t>
  </si>
  <si>
    <t xml:space="preserve">6. Sample / FAI Approval</t>
  </si>
  <si>
    <t xml:space="preserve">Sara</t>
  </si>
  <si>
    <t xml:space="preserve">PO-DM-2210</t>
  </si>
  <si>
    <t xml:space="preserve">PO-PP-1145</t>
  </si>
  <si>
    <t xml:space="preserve">Awaiting customer FAI sign-off</t>
  </si>
  <si>
    <t xml:space="preserve">UPS</t>
  </si>
  <si>
    <t xml:space="preserve">1Z999AA10ABCDEF123</t>
  </si>
  <si>
    <t xml:space="preserve">JOB-2026-105</t>
  </si>
  <si>
    <t xml:space="preserve">Acme Bracket B2</t>
  </si>
  <si>
    <t xml:space="preserve">1. Quote Requested</t>
  </si>
  <si>
    <t xml:space="preserve">Waiting on molder quote (requested 4/22)</t>
  </si>
  <si>
    <t xml:space="preserve">Repeat orders against existing molds. 3 stages: Customer PO -&gt; Molder PO -&gt; Production &amp; Shipping.</t>
  </si>
  <si>
    <t xml:space="preserve">Mold ID</t>
  </si>
  <si>
    <t xml:space="preserve">Quantity</t>
  </si>
  <si>
    <t xml:space="preserve">JOB-2026-104</t>
  </si>
  <si>
    <t xml:space="preserve">Cedar Outdoor Co.</t>
  </si>
  <si>
    <t xml:space="preserve">Cedar Cup Lid</t>
  </si>
  <si>
    <t xml:space="preserve">Pacific Injection Co.</t>
  </si>
  <si>
    <t xml:space="preserve">3. Production &amp; Shipping</t>
  </si>
  <si>
    <t xml:space="preserve">PO-CD-1207</t>
  </si>
  <si>
    <t xml:space="preserve">PO-PAC-0451</t>
  </si>
  <si>
    <t xml:space="preserve">Production scheduled wk of 5/4</t>
  </si>
  <si>
    <t xml:space="preserve">MOLD-1003</t>
  </si>
  <si>
    <t xml:space="preserve">JOB-2026-106</t>
  </si>
  <si>
    <t xml:space="preserve">Beacon Housing v2</t>
  </si>
  <si>
    <t xml:space="preserve">1. Customer PO Received</t>
  </si>
  <si>
    <t xml:space="preserve">PO-BE-3415</t>
  </si>
  <si>
    <t xml:space="preserve">Cut molder PO this week</t>
  </si>
  <si>
    <t xml:space="preserve">MOLD-1002</t>
  </si>
  <si>
    <t xml:space="preserve">JOB-2026-100</t>
  </si>
  <si>
    <t xml:space="preserve">Drift Connector v1</t>
  </si>
  <si>
    <t xml:space="preserve">Completed</t>
  </si>
  <si>
    <t xml:space="preserve">PO-DM-2200</t>
  </si>
  <si>
    <t xml:space="preserve">PO-PP-1130</t>
  </si>
  <si>
    <t xml:space="preserve">Shipped &amp; delivered</t>
  </si>
  <si>
    <t xml:space="preserve">MOLD-1004</t>
  </si>
  <si>
    <t xml:space="preserve">Customer ID</t>
  </si>
  <si>
    <t xml:space="preserve">Customer Name</t>
  </si>
  <si>
    <t xml:space="preserve">Primary Contact</t>
  </si>
  <si>
    <t xml:space="preserve">Email</t>
  </si>
  <si>
    <t xml:space="preserve">Phone</t>
  </si>
  <si>
    <t xml:space="preserve">Billing Address</t>
  </si>
  <si>
    <t xml:space="preserve">Shipping Address</t>
  </si>
  <si>
    <t xml:space="preserve">Payment Terms</t>
  </si>
  <si>
    <t xml:space="preserve">C-001</t>
  </si>
  <si>
    <t xml:space="preserve">Jane Doe</t>
  </si>
  <si>
    <t xml:space="preserve">jane@acme.com</t>
  </si>
  <si>
    <t xml:space="preserve">555-201-3344</t>
  </si>
  <si>
    <t xml:space="preserve">123 Acme Way, Detroit, MI</t>
  </si>
  <si>
    <t xml:space="preserve">Same as billing</t>
  </si>
  <si>
    <t xml:space="preserve">Net 30</t>
  </si>
  <si>
    <t xml:space="preserve">Long-time partner</t>
  </si>
  <si>
    <t xml:space="preserve">C-002</t>
  </si>
  <si>
    <t xml:space="preserve">Mark Lee</t>
  </si>
  <si>
    <t xml:space="preserve">mark@beacon.com</t>
  </si>
  <si>
    <t xml:space="preserve">555-998-1010</t>
  </si>
  <si>
    <t xml:space="preserve">44 Circuit Rd, Austin, TX</t>
  </si>
  <si>
    <t xml:space="preserve">Net 45</t>
  </si>
  <si>
    <t xml:space="preserve">Quarterly forecasts</t>
  </si>
  <si>
    <t xml:space="preserve">C-003</t>
  </si>
  <si>
    <t xml:space="preserve">Priya Singh</t>
  </si>
  <si>
    <t xml:space="preserve">priya@cedar.com</t>
  </si>
  <si>
    <t xml:space="preserve">555-303-2020</t>
  </si>
  <si>
    <t xml:space="preserve">9 Lakeview Dr, Boise, ID</t>
  </si>
  <si>
    <t xml:space="preserve">1 Cedar Whse, Nampa, ID</t>
  </si>
  <si>
    <t xml:space="preserve">Seasonal volumes</t>
  </si>
  <si>
    <t xml:space="preserve">C-004</t>
  </si>
  <si>
    <t xml:space="preserve">Sam Park</t>
  </si>
  <si>
    <t xml:space="preserve">sam@driftmed.com</t>
  </si>
  <si>
    <t xml:space="preserve">555-707-1212</t>
  </si>
  <si>
    <t xml:space="preserve">200 Hospital Ln, Boston, MA</t>
  </si>
  <si>
    <t xml:space="preserve">Net 60</t>
  </si>
  <si>
    <t xml:space="preserve">ISO 13485 required</t>
  </si>
  <si>
    <t xml:space="preserve">Molder ID</t>
  </si>
  <si>
    <t xml:space="preserve">Molder Name</t>
  </si>
  <si>
    <t xml:space="preserve">Location</t>
  </si>
  <si>
    <t xml:space="preserve">Capabilities</t>
  </si>
  <si>
    <t xml:space="preserve">Lead Time (wks)</t>
  </si>
  <si>
    <t xml:space="preserve">M-001</t>
  </si>
  <si>
    <t xml:space="preserve">Tony Rivera</t>
  </si>
  <si>
    <t xml:space="preserve">tony@precisionplastics.com</t>
  </si>
  <si>
    <t xml:space="preserve">555-411-2200</t>
  </si>
  <si>
    <t xml:space="preserve">Cleveland, OH</t>
  </si>
  <si>
    <t xml:space="preserve">Tooling + production, ABS/PC/PP, up to 500T</t>
  </si>
  <si>
    <t xml:space="preserve">8-10</t>
  </si>
  <si>
    <t xml:space="preserve">Strong on tight tolerances</t>
  </si>
  <si>
    <t xml:space="preserve">M-002</t>
  </si>
  <si>
    <t xml:space="preserve">Wei Zhang</t>
  </si>
  <si>
    <t xml:space="preserve">wei@summitmold.com</t>
  </si>
  <si>
    <t xml:space="preserve">555-822-7733</t>
  </si>
  <si>
    <t xml:space="preserve">Greenville, SC</t>
  </si>
  <si>
    <t xml:space="preserve">Tooling, multi-cavity, family molds</t>
  </si>
  <si>
    <t xml:space="preserve">10-12</t>
  </si>
  <si>
    <t xml:space="preserve">Best for complex molds</t>
  </si>
  <si>
    <t xml:space="preserve">M-003</t>
  </si>
  <si>
    <t xml:space="preserve">Diego Alvarez</t>
  </si>
  <si>
    <t xml:space="preserve">diego@pacificinj.com</t>
  </si>
  <si>
    <t xml:space="preserve">555-650-9090</t>
  </si>
  <si>
    <t xml:space="preserve">Long Beach, CA</t>
  </si>
  <si>
    <t xml:space="preserve">Production runs, overmolding, insert molding</t>
  </si>
  <si>
    <t xml:space="preserve">6-8</t>
  </si>
  <si>
    <t xml:space="preserve">Fast turnarounds</t>
  </si>
  <si>
    <t xml:space="preserve">Cavity Count</t>
  </si>
  <si>
    <t xml:space="preserve">Date Built</t>
  </si>
  <si>
    <t xml:space="preserve">Last Run Date</t>
  </si>
  <si>
    <t xml:space="preserve">Total Cycles</t>
  </si>
  <si>
    <t xml:space="preserve">Status</t>
  </si>
  <si>
    <t xml:space="preserve">MOLD-1001</t>
  </si>
  <si>
    <t xml:space="preserve">Acme Bracket A1</t>
  </si>
  <si>
    <t xml:space="preserve">Active</t>
  </si>
  <si>
    <t xml:space="preserve">Refurbished Q4-2025</t>
  </si>
  <si>
    <t xml:space="preserve">High-volume seasonal</t>
  </si>
  <si>
    <t xml:space="preserve">Drift Connector</t>
  </si>
  <si>
    <t xml:space="preserve">Retired</t>
  </si>
  <si>
    <t xml:space="preserve">Replaced by MOLD-1010</t>
  </si>
  <si>
    <t xml:space="preserve">Ship Date</t>
  </si>
  <si>
    <t xml:space="preserve">Shipment Type</t>
  </si>
  <si>
    <t xml:space="preserve">Unit Price ($)</t>
  </si>
  <si>
    <t xml:space="preserve">Run Total ($)</t>
  </si>
  <si>
    <t xml:space="preserve">Tracking #</t>
  </si>
  <si>
    <t xml:space="preserve">Carrier</t>
  </si>
  <si>
    <t xml:space="preserve">JOB-2024-031</t>
  </si>
  <si>
    <t xml:space="preserve">Reorder</t>
  </si>
  <si>
    <t xml:space="preserve">PO-AC-7781</t>
  </si>
  <si>
    <t xml:space="preserve">1Z999AA10123456784</t>
  </si>
  <si>
    <t xml:space="preserve">JOB-2024-027</t>
  </si>
  <si>
    <t xml:space="preserve">PO-BE-3320</t>
  </si>
  <si>
    <t xml:space="preserve">773812345678</t>
  </si>
  <si>
    <t xml:space="preserve">FedEx</t>
  </si>
  <si>
    <t xml:space="preserve">JOB-2026-002</t>
  </si>
  <si>
    <t xml:space="preserve">PO-CD-1199</t>
  </si>
  <si>
    <t xml:space="preserve">9400111202555432198765</t>
  </si>
  <si>
    <t xml:space="preserve">USPS</t>
  </si>
  <si>
    <t xml:space="preserve">Seasonal</t>
  </si>
  <si>
    <t xml:space="preserve">Sample / FAI</t>
  </si>
  <si>
    <t xml:space="preserve">MOLD-1010</t>
  </si>
  <si>
    <t xml:space="preserve">FAI samples for approval</t>
  </si>
  <si>
    <t xml:space="preserve">Production</t>
  </si>
  <si>
    <t xml:space="preserve">1Z999AA10987654321</t>
  </si>
  <si>
    <t xml:space="preserve">Production run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</si>
</sst>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$#,##0;&quot;($&quot;#,##0\);\-"/>
    <numFmt numFmtId="166" formatCode="mm/dd/yyyy"/>
    <numFmt numFmtId="167" formatCode="0;\(0\);\-"/>
    <numFmt numFmtId="168" formatCode="#,##0"/>
    <numFmt numFmtId="169" formatCode="\$#,##0.0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3864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22"/>
      <color rgb="FFFFFF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2"/>
      <color rgb="FF1F3864"/>
      <name val="Arial"/>
      <family val="0"/>
      <charset val="1"/>
    </font>
    <font>
      <sz val="1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2E75B6"/>
        <bgColor rgb="FF0066CC"/>
      </patternFill>
    </fill>
    <fill>
      <patternFill patternType="solid">
        <fgColor rgb="FF1F3864"/>
        <bgColor rgb="FF333399"/>
      </patternFill>
    </fill>
    <fill>
      <patternFill patternType="solid">
        <fgColor rgb="FF548235"/>
        <bgColor rgb="FF595959"/>
      </patternFill>
    </fill>
    <fill>
      <patternFill patternType="solid">
        <fgColor rgb="FFC00000"/>
        <bgColor rgb="FF9C0006"/>
      </patternFill>
    </fill>
    <fill>
      <patternFill patternType="solid">
        <fgColor rgb="FFD9E1F2"/>
        <bgColor rgb="FFDDEBF7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5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6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1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11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9" fontId="11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1">
    <dxf>
      <fill>
        <patternFill patternType="solid">
          <fgColor rgb="FF1F3864"/>
          <bgColor rgb="FF000000"/>
        </patternFill>
      </fill>
    </dxf>
    <dxf>
      <fill>
        <patternFill patternType="solid">
          <fgColor rgb="FFD9E1F2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595959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A9D08E"/>
          <bgColor rgb="FF000000"/>
        </patternFill>
      </fill>
    </dxf>
    <dxf>
      <fill>
        <patternFill patternType="solid">
          <fgColor rgb="FFB4A7D6"/>
          <bgColor rgb="FF000000"/>
        </patternFill>
      </fill>
    </dxf>
    <dxf>
      <fill>
        <patternFill patternType="solid">
          <fgColor rgb="FFBDD7EE"/>
          <bgColor rgb="FF000000"/>
        </patternFill>
      </fill>
    </dxf>
    <dxf>
      <fill>
        <patternFill patternType="solid">
          <fgColor rgb="FFC6E0B4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4B084"/>
          <bgColor rgb="FF000000"/>
        </patternFill>
      </fill>
    </dxf>
    <dxf>
      <font>
        <name val="Arial"/>
        <charset val="1"/>
        <family val="0"/>
        <color rgb="FFFFFFFF"/>
        <sz val="10"/>
      </font>
      <fill>
        <patternFill>
          <bgColor rgb="FFFFFFFF"/>
        </patternFill>
      </fill>
      <border diagonalUp="false" diagonalDown="false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diagonal/>
      </border>
    </dxf>
    <dxf>
      <font>
        <name val="Arial"/>
        <charset val="1"/>
        <family val="0"/>
        <color rgb="FF595959"/>
        <sz val="10"/>
      </font>
      <fill>
        <patternFill>
          <bgColor rgb="FFEDEDED"/>
        </patternFill>
      </fill>
    </dxf>
    <dxf>
      <fill>
        <patternFill>
          <bgColor rgb="FFDDEBF7"/>
        </patternFill>
      </fill>
    </dxf>
    <dxf>
      <fill>
        <patternFill>
          <bgColor rgb="FFBDD7EE"/>
        </patternFill>
      </fill>
    </dxf>
    <dxf>
      <fill>
        <patternFill>
          <bgColor rgb="FFC6E0B4"/>
        </patternFill>
      </fill>
    </dxf>
    <dxf>
      <fill>
        <patternFill>
          <bgColor rgb="FFA9D08E"/>
        </patternFill>
      </fill>
    </dxf>
    <dxf>
      <fill>
        <patternFill>
          <bgColor rgb="FFFFE699"/>
        </patternFill>
      </fill>
    </dxf>
    <dxf>
      <fill>
        <patternFill>
          <bgColor rgb="FFF4B084"/>
        </patternFill>
      </fill>
    </dxf>
    <dxf>
      <fill>
        <patternFill>
          <bgColor rgb="FFB4A7D6"/>
        </patternFill>
      </fill>
    </dxf>
    <dxf>
      <fill>
        <patternFill>
          <bgColor rgb="FFD9D9D9"/>
        </patternFill>
      </fill>
    </dxf>
    <dxf>
      <fill>
        <patternFill patternType="solid">
          <fgColor rgb="FFFCE4E4"/>
          <bgColor rgb="FF000000"/>
        </patternFill>
      </fill>
    </dxf>
    <dxf>
      <font>
        <name val="Arial"/>
        <charset val="1"/>
        <family val="0"/>
        <b val="1"/>
        <color rgb="FF9C0006"/>
        <sz val="10"/>
      </font>
      <fill>
        <patternFill>
          <bgColor rgb="FFF4CCCC"/>
        </patternFill>
      </fill>
    </dxf>
    <dxf>
      <font>
        <name val="Arial"/>
        <charset val="1"/>
        <family val="0"/>
        <b val="1"/>
        <color rgb="FF7F6000"/>
        <sz val="10"/>
      </font>
      <fill>
        <patternFill>
          <bgColor rgb="FFFFF2CC"/>
        </patternFill>
      </fill>
    </dxf>
    <dxf>
      <font>
        <name val="Arial"/>
        <charset val="1"/>
        <family val="0"/>
        <color rgb="FF375623"/>
        <sz val="10"/>
      </font>
      <fill>
        <patternFill>
          <bgColor rgb="FFE2EFDA"/>
        </patternFill>
      </fill>
    </dxf>
    <dxf>
      <fill>
        <patternFill>
          <bgColor rgb="FFFCE4E4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EDEDED"/>
      <rgbColor rgb="FFFF00FF"/>
      <rgbColor rgb="FF00FFFF"/>
      <rgbColor rgb="FF9C0006"/>
      <rgbColor rgb="FF008000"/>
      <rgbColor rgb="FF000080"/>
      <rgbColor rgb="FF7F6000"/>
      <rgbColor rgb="FF800080"/>
      <rgbColor rgb="FF008080"/>
      <rgbColor rgb="FFBFBFBF"/>
      <rgbColor rgb="FF808080"/>
      <rgbColor rgb="FFD9D9D9"/>
      <rgbColor rgb="FF7030A0"/>
      <rgbColor rgb="FFFFF2CC"/>
      <rgbColor rgb="FFDDEBF7"/>
      <rgbColor rgb="FF660066"/>
      <rgbColor rgb="FFFFC7CE"/>
      <rgbColor rgb="FF0066CC"/>
      <rgbColor rgb="FFBDD7EE"/>
      <rgbColor rgb="FF000080"/>
      <rgbColor rgb="FFFF00FF"/>
      <rgbColor rgb="FFD9E1F2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699"/>
      <rgbColor rgb="FFC6E0B4"/>
      <rgbColor rgb="FFF4B084"/>
      <rgbColor rgb="FFB4A7D6"/>
      <rgbColor rgb="FFF4CCCC"/>
      <rgbColor rgb="FF2E75B6"/>
      <rgbColor rgb="FF33CCCC"/>
      <rgbColor rgb="FF99CC00"/>
      <rgbColor rgb="FFFCE4E4"/>
      <rgbColor rgb="FFBF8F00"/>
      <rgbColor rgb="FFFF6600"/>
      <rgbColor rgb="FF595959"/>
      <rgbColor rgb="FFA9D08E"/>
      <rgbColor rgb="FF1F3864"/>
      <rgbColor rgb="FF548235"/>
      <rgbColor rgb="FF003300"/>
      <rgbColor rgb="FF333300"/>
      <rgbColor rgb="FF993300"/>
      <rgbColor rgb="FF993366"/>
      <rgbColor rgb="FF333399"/>
      <rgbColor rgb="FF37562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H1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0" topLeftCell="A11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3"/>
    <col collapsed="false" customWidth="true" hidden="false" outlineLevel="0" max="3" min="3" style="0" width="24"/>
    <col collapsed="false" customWidth="true" hidden="false" outlineLevel="0" max="4" min="4" style="0" width="26"/>
    <col collapsed="false" customWidth="true" hidden="false" outlineLevel="0" max="6" min="5" style="0" width="15"/>
    <col collapsed="false" customWidth="true" hidden="false" outlineLevel="0" max="7" min="7" style="0" width="34"/>
  </cols>
  <sheetData>
    <row r="1" customFormat="false" ht="22.05" hidden="false" customHeight="false" outlineLevel="0" collapsed="false">
      <c r="A1" s="1" t="s">
        <v>0</v>
      </c>
      <c r="B1" s="1"/>
      <c r="C1" s="1"/>
      <c r="D1" s="1"/>
      <c r="E1" s="1"/>
      <c r="F1" s="1"/>
      <c r="G1" s="1"/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  <c r="F2" s="2"/>
      <c r="G2" s="2"/>
    </row>
    <row r="3" customFormat="false" ht="15" hidden="false" customHeight="false" outlineLevel="0" collapsed="false">
      <c r="A3" s="3" t="str">
        <f aca="true">CONCATENATE("Last opened: ", TEXT(TODAY(),"dddd, mmmm d, yyyy"))</f>
        <v>Last opened: Wednesday, April 29, 2026</v>
      </c>
      <c r="B3" s="3"/>
      <c r="C3" s="3"/>
      <c r="D3" s="3"/>
      <c r="E3" s="3"/>
      <c r="F3" s="3"/>
      <c r="G3" s="3"/>
    </row>
    <row r="5" customFormat="false" ht="21.75" hidden="false" customHeight="true" outlineLevel="0" collapsed="false">
      <c r="A5" s="4" t="s">
        <v>2</v>
      </c>
      <c r="B5" s="4"/>
      <c r="C5" s="5" t="s">
        <v>3</v>
      </c>
      <c r="D5" s="5"/>
      <c r="E5" s="6" t="s">
        <v>4</v>
      </c>
      <c r="F5" s="6"/>
      <c r="G5" s="7" t="s">
        <v>5</v>
      </c>
      <c r="H5" s="7"/>
    </row>
    <row r="6" customFormat="false" ht="37.5" hidden="false" customHeight="true" outlineLevel="0" collapsed="false">
      <c r="A6" s="8" t="n">
        <f aca="false">COUNTIFS('New Tooling Jobs'!A13:A62,"&lt;&gt;",'New Tooling Jobs'!E13:E62,"&lt;&gt;Completed",'New Tooling Jobs'!E13:E62,"&lt;&gt;")+COUNTIFS(Reorders!A13:A62,"&lt;&gt;",Reorders!E13:E62,"&lt;&gt;Completed",Reorders!E13:E62,"&lt;&gt;")</f>
        <v>6</v>
      </c>
      <c r="B6" s="8"/>
      <c r="C6" s="9" t="n">
        <f aca="false">COUNTIFS('New Tooling Jobs'!A13:A62,"&lt;&gt;",'New Tooling Jobs'!E13:E62,"&lt;&gt;Completed",'New Tooling Jobs'!E13:E62,"&lt;&gt;")</f>
        <v>4</v>
      </c>
      <c r="D6" s="9"/>
      <c r="E6" s="10" t="n">
        <f aca="false">COUNTIFS(Reorders!A13:A62,"&lt;&gt;",Reorders!E13:E62,"&lt;&gt;Completed",Reorders!E13:E62,"&lt;&gt;")</f>
        <v>2</v>
      </c>
      <c r="F6" s="10"/>
      <c r="G6" s="11" t="n">
        <f aca="false">SUMPRODUCT(('New Tooling Jobs'!X13:X62&lt;&gt;"")*(IFERROR('New Tooling Jobs'!X13:X62+0,99999)&lt;0)*('New Tooling Jobs'!E13:E62&lt;&gt;"Completed"))+SUMPRODUCT((Reorders!T13:T62&lt;&gt;"")*(IFERROR(Reorders!T13:T62+0,99999)&lt;0)*(Reorders!E13:E62&lt;&gt;"Completed"))</f>
        <v>1</v>
      </c>
      <c r="H6" s="11"/>
    </row>
    <row r="9" customFormat="false" ht="30" hidden="false" customHeight="true" outlineLevel="0" collapsed="false">
      <c r="A9" s="12" t="s">
        <v>6</v>
      </c>
      <c r="B9" s="12" t="s">
        <v>7</v>
      </c>
      <c r="C9" s="12" t="s">
        <v>8</v>
      </c>
      <c r="D9" s="12" t="s">
        <v>9</v>
      </c>
      <c r="E9" s="12" t="s">
        <v>10</v>
      </c>
      <c r="F9" s="12" t="s">
        <v>11</v>
      </c>
      <c r="G9" s="12" t="s">
        <v>12</v>
      </c>
    </row>
    <row r="10" customFormat="false" ht="21.75" hidden="false" customHeight="true" outlineLevel="0" collapsed="false">
      <c r="A10" s="13" t="s">
        <v>13</v>
      </c>
      <c r="B10" s="13"/>
      <c r="C10" s="13"/>
      <c r="D10" s="13"/>
      <c r="E10" s="13"/>
      <c r="F10" s="13"/>
      <c r="G10" s="13"/>
    </row>
    <row r="11" customFormat="false" ht="15" hidden="false" customHeight="false" outlineLevel="0" collapsed="false">
      <c r="A11" s="14" t="str">
        <f aca="false">IF('New Tooling Jobs'!A13="","",'New Tooling Jobs'!A13)</f>
        <v>JOB-2026-101</v>
      </c>
      <c r="B11" s="14" t="str">
        <f aca="false">IF('New Tooling Jobs'!A13="","","New Tooling")</f>
        <v>New Tooling</v>
      </c>
      <c r="C11" s="15" t="str">
        <f aca="false">IF('New Tooling Jobs'!B13="","",'New Tooling Jobs'!B13)</f>
        <v>Acme Industries</v>
      </c>
      <c r="D11" s="15" t="str">
        <f aca="false">IF('New Tooling Jobs'!E13="","",'New Tooling Jobs'!E13)</f>
        <v>2. Quote Sent to Customer</v>
      </c>
      <c r="E11" s="14" t="str">
        <f aca="false">IF('New Tooling Jobs'!G13="","",'New Tooling Jobs'!G13)</f>
        <v/>
      </c>
      <c r="F11" s="14" t="str">
        <f aca="false">IF('New Tooling Jobs'!H13="","",'New Tooling Jobs'!H13)</f>
        <v/>
      </c>
      <c r="G11" s="15" t="str">
        <f aca="false">IF('New Tooling Jobs'!I13="","",'New Tooling Jobs'!I13)</f>
        <v>Awaiting customer PO</v>
      </c>
    </row>
    <row r="12" customFormat="false" ht="15" hidden="false" customHeight="false" outlineLevel="0" collapsed="false">
      <c r="A12" s="14" t="str">
        <f aca="false">IF('New Tooling Jobs'!A14="","",'New Tooling Jobs'!A14)</f>
        <v>JOB-2026-102</v>
      </c>
      <c r="B12" s="14" t="str">
        <f aca="false">IF('New Tooling Jobs'!A14="","","New Tooling")</f>
        <v>New Tooling</v>
      </c>
      <c r="C12" s="15" t="str">
        <f aca="false">IF('New Tooling Jobs'!B14="","",'New Tooling Jobs'!B14)</f>
        <v>Beacon Electronics</v>
      </c>
      <c r="D12" s="15" t="str">
        <f aca="false">IF('New Tooling Jobs'!E14="","",'New Tooling Jobs'!E14)</f>
        <v>4. PO Issued to Molder</v>
      </c>
      <c r="E12" s="14" t="str">
        <f aca="false">IF('New Tooling Jobs'!G14="","",'New Tooling Jobs'!G14)</f>
        <v>PO-BE-3411</v>
      </c>
      <c r="F12" s="14" t="str">
        <f aca="false">IF('New Tooling Jobs'!H14="","",'New Tooling Jobs'!H14)</f>
        <v>PO-SUM-0992</v>
      </c>
      <c r="G12" s="15" t="str">
        <f aca="false">IF('New Tooling Jobs'!I14="","",'New Tooling Jobs'!I14)</f>
        <v>Mold kickoff meeting 5/4</v>
      </c>
    </row>
    <row r="13" customFormat="false" ht="15" hidden="false" customHeight="false" outlineLevel="0" collapsed="false">
      <c r="A13" s="14" t="str">
        <f aca="false">IF('New Tooling Jobs'!A15="","",'New Tooling Jobs'!A15)</f>
        <v>JOB-2026-103</v>
      </c>
      <c r="B13" s="14" t="str">
        <f aca="false">IF('New Tooling Jobs'!A15="","","New Tooling")</f>
        <v>New Tooling</v>
      </c>
      <c r="C13" s="15" t="str">
        <f aca="false">IF('New Tooling Jobs'!B15="","",'New Tooling Jobs'!B15)</f>
        <v>Drift Medical</v>
      </c>
      <c r="D13" s="15" t="str">
        <f aca="false">IF('New Tooling Jobs'!E15="","",'New Tooling Jobs'!E15)</f>
        <v>6. Sample / FAI Approval</v>
      </c>
      <c r="E13" s="14" t="str">
        <f aca="false">IF('New Tooling Jobs'!G15="","",'New Tooling Jobs'!G15)</f>
        <v>PO-DM-2210</v>
      </c>
      <c r="F13" s="14" t="str">
        <f aca="false">IF('New Tooling Jobs'!H15="","",'New Tooling Jobs'!H15)</f>
        <v>PO-PP-1145</v>
      </c>
      <c r="G13" s="15" t="str">
        <f aca="false">IF('New Tooling Jobs'!I15="","",'New Tooling Jobs'!I15)</f>
        <v>Awaiting customer FAI sign-off</v>
      </c>
    </row>
    <row r="14" customFormat="false" ht="15" hidden="false" customHeight="false" outlineLevel="0" collapsed="false">
      <c r="A14" s="14" t="str">
        <f aca="false">IF('New Tooling Jobs'!A16="","",'New Tooling Jobs'!A16)</f>
        <v>JOB-2026-105</v>
      </c>
      <c r="B14" s="14" t="str">
        <f aca="false">IF('New Tooling Jobs'!A16="","","New Tooling")</f>
        <v>New Tooling</v>
      </c>
      <c r="C14" s="15" t="str">
        <f aca="false">IF('New Tooling Jobs'!B16="","",'New Tooling Jobs'!B16)</f>
        <v>Acme Industries</v>
      </c>
      <c r="D14" s="15" t="str">
        <f aca="false">IF('New Tooling Jobs'!E16="","",'New Tooling Jobs'!E16)</f>
        <v>1. Quote Requested</v>
      </c>
      <c r="E14" s="14" t="str">
        <f aca="false">IF('New Tooling Jobs'!G16="","",'New Tooling Jobs'!G16)</f>
        <v/>
      </c>
      <c r="F14" s="14" t="str">
        <f aca="false">IF('New Tooling Jobs'!H16="","",'New Tooling Jobs'!H16)</f>
        <v/>
      </c>
      <c r="G14" s="15" t="str">
        <f aca="false">IF('New Tooling Jobs'!I16="","",'New Tooling Jobs'!I16)</f>
        <v>Waiting on molder quote (requested 4/22)</v>
      </c>
    </row>
    <row r="15" customFormat="false" ht="15" hidden="false" customHeight="false" outlineLevel="0" collapsed="false">
      <c r="A15" s="14" t="str">
        <f aca="false">IF('New Tooling Jobs'!A17="","",'New Tooling Jobs'!A17)</f>
        <v/>
      </c>
      <c r="B15" s="14" t="str">
        <f aca="false">IF('New Tooling Jobs'!A17="","","New Tooling")</f>
        <v/>
      </c>
      <c r="C15" s="15" t="str">
        <f aca="false">IF('New Tooling Jobs'!B17="","",'New Tooling Jobs'!B17)</f>
        <v/>
      </c>
      <c r="D15" s="15" t="str">
        <f aca="false">IF('New Tooling Jobs'!E17="","",'New Tooling Jobs'!E17)</f>
        <v/>
      </c>
      <c r="E15" s="14" t="str">
        <f aca="false">IF('New Tooling Jobs'!G17="","",'New Tooling Jobs'!G17)</f>
        <v/>
      </c>
      <c r="F15" s="14" t="str">
        <f aca="false">IF('New Tooling Jobs'!H17="","",'New Tooling Jobs'!H17)</f>
        <v/>
      </c>
      <c r="G15" s="15" t="str">
        <f aca="false">IF('New Tooling Jobs'!I17="","",'New Tooling Jobs'!I17)</f>
        <v/>
      </c>
    </row>
    <row r="16" customFormat="false" ht="15" hidden="false" customHeight="false" outlineLevel="0" collapsed="false">
      <c r="A16" s="14" t="str">
        <f aca="false">IF('New Tooling Jobs'!A18="","",'New Tooling Jobs'!A18)</f>
        <v/>
      </c>
      <c r="B16" s="14" t="str">
        <f aca="false">IF('New Tooling Jobs'!A18="","","New Tooling")</f>
        <v/>
      </c>
      <c r="C16" s="15" t="str">
        <f aca="false">IF('New Tooling Jobs'!B18="","",'New Tooling Jobs'!B18)</f>
        <v/>
      </c>
      <c r="D16" s="15" t="str">
        <f aca="false">IF('New Tooling Jobs'!E18="","",'New Tooling Jobs'!E18)</f>
        <v/>
      </c>
      <c r="E16" s="14" t="str">
        <f aca="false">IF('New Tooling Jobs'!G18="","",'New Tooling Jobs'!G18)</f>
        <v/>
      </c>
      <c r="F16" s="14" t="str">
        <f aca="false">IF('New Tooling Jobs'!H18="","",'New Tooling Jobs'!H18)</f>
        <v/>
      </c>
      <c r="G16" s="15" t="str">
        <f aca="false">IF('New Tooling Jobs'!I18="","",'New Tooling Jobs'!I18)</f>
        <v/>
      </c>
    </row>
    <row r="17" customFormat="false" ht="15" hidden="false" customHeight="false" outlineLevel="0" collapsed="false">
      <c r="A17" s="14" t="str">
        <f aca="false">IF('New Tooling Jobs'!A19="","",'New Tooling Jobs'!A19)</f>
        <v/>
      </c>
      <c r="B17" s="14" t="str">
        <f aca="false">IF('New Tooling Jobs'!A19="","","New Tooling")</f>
        <v/>
      </c>
      <c r="C17" s="15" t="str">
        <f aca="false">IF('New Tooling Jobs'!B19="","",'New Tooling Jobs'!B19)</f>
        <v/>
      </c>
      <c r="D17" s="15" t="str">
        <f aca="false">IF('New Tooling Jobs'!E19="","",'New Tooling Jobs'!E19)</f>
        <v/>
      </c>
      <c r="E17" s="14" t="str">
        <f aca="false">IF('New Tooling Jobs'!G19="","",'New Tooling Jobs'!G19)</f>
        <v/>
      </c>
      <c r="F17" s="14" t="str">
        <f aca="false">IF('New Tooling Jobs'!H19="","",'New Tooling Jobs'!H19)</f>
        <v/>
      </c>
      <c r="G17" s="15" t="str">
        <f aca="false">IF('New Tooling Jobs'!I19="","",'New Tooling Jobs'!I19)</f>
        <v/>
      </c>
    </row>
    <row r="18" customFormat="false" ht="15" hidden="false" customHeight="false" outlineLevel="0" collapsed="false">
      <c r="A18" s="14" t="str">
        <f aca="false">IF('New Tooling Jobs'!A20="","",'New Tooling Jobs'!A20)</f>
        <v/>
      </c>
      <c r="B18" s="14" t="str">
        <f aca="false">IF('New Tooling Jobs'!A20="","","New Tooling")</f>
        <v/>
      </c>
      <c r="C18" s="15" t="str">
        <f aca="false">IF('New Tooling Jobs'!B20="","",'New Tooling Jobs'!B20)</f>
        <v/>
      </c>
      <c r="D18" s="15" t="str">
        <f aca="false">IF('New Tooling Jobs'!E20="","",'New Tooling Jobs'!E20)</f>
        <v/>
      </c>
      <c r="E18" s="14" t="str">
        <f aca="false">IF('New Tooling Jobs'!G20="","",'New Tooling Jobs'!G20)</f>
        <v/>
      </c>
      <c r="F18" s="14" t="str">
        <f aca="false">IF('New Tooling Jobs'!H20="","",'New Tooling Jobs'!H20)</f>
        <v/>
      </c>
      <c r="G18" s="15" t="str">
        <f aca="false">IF('New Tooling Jobs'!I20="","",'New Tooling Jobs'!I20)</f>
        <v/>
      </c>
    </row>
    <row r="19" customFormat="false" ht="15" hidden="false" customHeight="false" outlineLevel="0" collapsed="false">
      <c r="A19" s="14" t="str">
        <f aca="false">IF('New Tooling Jobs'!A21="","",'New Tooling Jobs'!A21)</f>
        <v/>
      </c>
      <c r="B19" s="14" t="str">
        <f aca="false">IF('New Tooling Jobs'!A21="","","New Tooling")</f>
        <v/>
      </c>
      <c r="C19" s="15" t="str">
        <f aca="false">IF('New Tooling Jobs'!B21="","",'New Tooling Jobs'!B21)</f>
        <v/>
      </c>
      <c r="D19" s="15" t="str">
        <f aca="false">IF('New Tooling Jobs'!E21="","",'New Tooling Jobs'!E21)</f>
        <v/>
      </c>
      <c r="E19" s="14" t="str">
        <f aca="false">IF('New Tooling Jobs'!G21="","",'New Tooling Jobs'!G21)</f>
        <v/>
      </c>
      <c r="F19" s="14" t="str">
        <f aca="false">IF('New Tooling Jobs'!H21="","",'New Tooling Jobs'!H21)</f>
        <v/>
      </c>
      <c r="G19" s="15" t="str">
        <f aca="false">IF('New Tooling Jobs'!I21="","",'New Tooling Jobs'!I21)</f>
        <v/>
      </c>
    </row>
    <row r="20" customFormat="false" ht="15" hidden="false" customHeight="false" outlineLevel="0" collapsed="false">
      <c r="A20" s="14" t="str">
        <f aca="false">IF('New Tooling Jobs'!A22="","",'New Tooling Jobs'!A22)</f>
        <v/>
      </c>
      <c r="B20" s="14" t="str">
        <f aca="false">IF('New Tooling Jobs'!A22="","","New Tooling")</f>
        <v/>
      </c>
      <c r="C20" s="15" t="str">
        <f aca="false">IF('New Tooling Jobs'!B22="","",'New Tooling Jobs'!B22)</f>
        <v/>
      </c>
      <c r="D20" s="15" t="str">
        <f aca="false">IF('New Tooling Jobs'!E22="","",'New Tooling Jobs'!E22)</f>
        <v/>
      </c>
      <c r="E20" s="14" t="str">
        <f aca="false">IF('New Tooling Jobs'!G22="","",'New Tooling Jobs'!G22)</f>
        <v/>
      </c>
      <c r="F20" s="14" t="str">
        <f aca="false">IF('New Tooling Jobs'!H22="","",'New Tooling Jobs'!H22)</f>
        <v/>
      </c>
      <c r="G20" s="15" t="str">
        <f aca="false">IF('New Tooling Jobs'!I22="","",'New Tooling Jobs'!I22)</f>
        <v/>
      </c>
    </row>
    <row r="21" customFormat="false" ht="15" hidden="false" customHeight="false" outlineLevel="0" collapsed="false">
      <c r="A21" s="14" t="str">
        <f aca="false">IF('New Tooling Jobs'!A23="","",'New Tooling Jobs'!A23)</f>
        <v/>
      </c>
      <c r="B21" s="14" t="str">
        <f aca="false">IF('New Tooling Jobs'!A23="","","New Tooling")</f>
        <v/>
      </c>
      <c r="C21" s="15" t="str">
        <f aca="false">IF('New Tooling Jobs'!B23="","",'New Tooling Jobs'!B23)</f>
        <v/>
      </c>
      <c r="D21" s="15" t="str">
        <f aca="false">IF('New Tooling Jobs'!E23="","",'New Tooling Jobs'!E23)</f>
        <v/>
      </c>
      <c r="E21" s="14" t="str">
        <f aca="false">IF('New Tooling Jobs'!G23="","",'New Tooling Jobs'!G23)</f>
        <v/>
      </c>
      <c r="F21" s="14" t="str">
        <f aca="false">IF('New Tooling Jobs'!H23="","",'New Tooling Jobs'!H23)</f>
        <v/>
      </c>
      <c r="G21" s="15" t="str">
        <f aca="false">IF('New Tooling Jobs'!I23="","",'New Tooling Jobs'!I23)</f>
        <v/>
      </c>
    </row>
    <row r="22" customFormat="false" ht="15" hidden="false" customHeight="false" outlineLevel="0" collapsed="false">
      <c r="A22" s="14" t="str">
        <f aca="false">IF('New Tooling Jobs'!A24="","",'New Tooling Jobs'!A24)</f>
        <v/>
      </c>
      <c r="B22" s="14" t="str">
        <f aca="false">IF('New Tooling Jobs'!A24="","","New Tooling")</f>
        <v/>
      </c>
      <c r="C22" s="15" t="str">
        <f aca="false">IF('New Tooling Jobs'!B24="","",'New Tooling Jobs'!B24)</f>
        <v/>
      </c>
      <c r="D22" s="15" t="str">
        <f aca="false">IF('New Tooling Jobs'!E24="","",'New Tooling Jobs'!E24)</f>
        <v/>
      </c>
      <c r="E22" s="14" t="str">
        <f aca="false">IF('New Tooling Jobs'!G24="","",'New Tooling Jobs'!G24)</f>
        <v/>
      </c>
      <c r="F22" s="14" t="str">
        <f aca="false">IF('New Tooling Jobs'!H24="","",'New Tooling Jobs'!H24)</f>
        <v/>
      </c>
      <c r="G22" s="15" t="str">
        <f aca="false">IF('New Tooling Jobs'!I24="","",'New Tooling Jobs'!I24)</f>
        <v/>
      </c>
    </row>
    <row r="23" customFormat="false" ht="15" hidden="false" customHeight="false" outlineLevel="0" collapsed="false">
      <c r="A23" s="14" t="str">
        <f aca="false">IF('New Tooling Jobs'!A25="","",'New Tooling Jobs'!A25)</f>
        <v/>
      </c>
      <c r="B23" s="14" t="str">
        <f aca="false">IF('New Tooling Jobs'!A25="","","New Tooling")</f>
        <v/>
      </c>
      <c r="C23" s="15" t="str">
        <f aca="false">IF('New Tooling Jobs'!B25="","",'New Tooling Jobs'!B25)</f>
        <v/>
      </c>
      <c r="D23" s="15" t="str">
        <f aca="false">IF('New Tooling Jobs'!E25="","",'New Tooling Jobs'!E25)</f>
        <v/>
      </c>
      <c r="E23" s="14" t="str">
        <f aca="false">IF('New Tooling Jobs'!G25="","",'New Tooling Jobs'!G25)</f>
        <v/>
      </c>
      <c r="F23" s="14" t="str">
        <f aca="false">IF('New Tooling Jobs'!H25="","",'New Tooling Jobs'!H25)</f>
        <v/>
      </c>
      <c r="G23" s="15" t="str">
        <f aca="false">IF('New Tooling Jobs'!I25="","",'New Tooling Jobs'!I25)</f>
        <v/>
      </c>
    </row>
    <row r="24" customFormat="false" ht="15" hidden="false" customHeight="false" outlineLevel="0" collapsed="false">
      <c r="A24" s="14" t="str">
        <f aca="false">IF('New Tooling Jobs'!A26="","",'New Tooling Jobs'!A26)</f>
        <v/>
      </c>
      <c r="B24" s="14" t="str">
        <f aca="false">IF('New Tooling Jobs'!A26="","","New Tooling")</f>
        <v/>
      </c>
      <c r="C24" s="15" t="str">
        <f aca="false">IF('New Tooling Jobs'!B26="","",'New Tooling Jobs'!B26)</f>
        <v/>
      </c>
      <c r="D24" s="15" t="str">
        <f aca="false">IF('New Tooling Jobs'!E26="","",'New Tooling Jobs'!E26)</f>
        <v/>
      </c>
      <c r="E24" s="14" t="str">
        <f aca="false">IF('New Tooling Jobs'!G26="","",'New Tooling Jobs'!G26)</f>
        <v/>
      </c>
      <c r="F24" s="14" t="str">
        <f aca="false">IF('New Tooling Jobs'!H26="","",'New Tooling Jobs'!H26)</f>
        <v/>
      </c>
      <c r="G24" s="15" t="str">
        <f aca="false">IF('New Tooling Jobs'!I26="","",'New Tooling Jobs'!I26)</f>
        <v/>
      </c>
    </row>
    <row r="25" customFormat="false" ht="15" hidden="false" customHeight="false" outlineLevel="0" collapsed="false">
      <c r="A25" s="14" t="str">
        <f aca="false">IF('New Tooling Jobs'!A27="","",'New Tooling Jobs'!A27)</f>
        <v/>
      </c>
      <c r="B25" s="14" t="str">
        <f aca="false">IF('New Tooling Jobs'!A27="","","New Tooling")</f>
        <v/>
      </c>
      <c r="C25" s="15" t="str">
        <f aca="false">IF('New Tooling Jobs'!B27="","",'New Tooling Jobs'!B27)</f>
        <v/>
      </c>
      <c r="D25" s="15" t="str">
        <f aca="false">IF('New Tooling Jobs'!E27="","",'New Tooling Jobs'!E27)</f>
        <v/>
      </c>
      <c r="E25" s="14" t="str">
        <f aca="false">IF('New Tooling Jobs'!G27="","",'New Tooling Jobs'!G27)</f>
        <v/>
      </c>
      <c r="F25" s="14" t="str">
        <f aca="false">IF('New Tooling Jobs'!H27="","",'New Tooling Jobs'!H27)</f>
        <v/>
      </c>
      <c r="G25" s="15" t="str">
        <f aca="false">IF('New Tooling Jobs'!I27="","",'New Tooling Jobs'!I27)</f>
        <v/>
      </c>
    </row>
    <row r="26" customFormat="false" ht="15" hidden="false" customHeight="false" outlineLevel="0" collapsed="false">
      <c r="A26" s="14" t="str">
        <f aca="false">IF('New Tooling Jobs'!A28="","",'New Tooling Jobs'!A28)</f>
        <v/>
      </c>
      <c r="B26" s="14" t="str">
        <f aca="false">IF('New Tooling Jobs'!A28="","","New Tooling")</f>
        <v/>
      </c>
      <c r="C26" s="15" t="str">
        <f aca="false">IF('New Tooling Jobs'!B28="","",'New Tooling Jobs'!B28)</f>
        <v/>
      </c>
      <c r="D26" s="15" t="str">
        <f aca="false">IF('New Tooling Jobs'!E28="","",'New Tooling Jobs'!E28)</f>
        <v/>
      </c>
      <c r="E26" s="14" t="str">
        <f aca="false">IF('New Tooling Jobs'!G28="","",'New Tooling Jobs'!G28)</f>
        <v/>
      </c>
      <c r="F26" s="14" t="str">
        <f aca="false">IF('New Tooling Jobs'!H28="","",'New Tooling Jobs'!H28)</f>
        <v/>
      </c>
      <c r="G26" s="15" t="str">
        <f aca="false">IF('New Tooling Jobs'!I28="","",'New Tooling Jobs'!I28)</f>
        <v/>
      </c>
    </row>
    <row r="27" customFormat="false" ht="15" hidden="false" customHeight="false" outlineLevel="0" collapsed="false">
      <c r="A27" s="14" t="str">
        <f aca="false">IF('New Tooling Jobs'!A29="","",'New Tooling Jobs'!A29)</f>
        <v/>
      </c>
      <c r="B27" s="14" t="str">
        <f aca="false">IF('New Tooling Jobs'!A29="","","New Tooling")</f>
        <v/>
      </c>
      <c r="C27" s="15" t="str">
        <f aca="false">IF('New Tooling Jobs'!B29="","",'New Tooling Jobs'!B29)</f>
        <v/>
      </c>
      <c r="D27" s="15" t="str">
        <f aca="false">IF('New Tooling Jobs'!E29="","",'New Tooling Jobs'!E29)</f>
        <v/>
      </c>
      <c r="E27" s="14" t="str">
        <f aca="false">IF('New Tooling Jobs'!G29="","",'New Tooling Jobs'!G29)</f>
        <v/>
      </c>
      <c r="F27" s="14" t="str">
        <f aca="false">IF('New Tooling Jobs'!H29="","",'New Tooling Jobs'!H29)</f>
        <v/>
      </c>
      <c r="G27" s="15" t="str">
        <f aca="false">IF('New Tooling Jobs'!I29="","",'New Tooling Jobs'!I29)</f>
        <v/>
      </c>
    </row>
    <row r="28" customFormat="false" ht="15" hidden="false" customHeight="false" outlineLevel="0" collapsed="false">
      <c r="A28" s="14" t="str">
        <f aca="false">IF('New Tooling Jobs'!A30="","",'New Tooling Jobs'!A30)</f>
        <v/>
      </c>
      <c r="B28" s="14" t="str">
        <f aca="false">IF('New Tooling Jobs'!A30="","","New Tooling")</f>
        <v/>
      </c>
      <c r="C28" s="15" t="str">
        <f aca="false">IF('New Tooling Jobs'!B30="","",'New Tooling Jobs'!B30)</f>
        <v/>
      </c>
      <c r="D28" s="15" t="str">
        <f aca="false">IF('New Tooling Jobs'!E30="","",'New Tooling Jobs'!E30)</f>
        <v/>
      </c>
      <c r="E28" s="14" t="str">
        <f aca="false">IF('New Tooling Jobs'!G30="","",'New Tooling Jobs'!G30)</f>
        <v/>
      </c>
      <c r="F28" s="14" t="str">
        <f aca="false">IF('New Tooling Jobs'!H30="","",'New Tooling Jobs'!H30)</f>
        <v/>
      </c>
      <c r="G28" s="15" t="str">
        <f aca="false">IF('New Tooling Jobs'!I30="","",'New Tooling Jobs'!I30)</f>
        <v/>
      </c>
    </row>
    <row r="29" customFormat="false" ht="15" hidden="false" customHeight="false" outlineLevel="0" collapsed="false">
      <c r="A29" s="14" t="str">
        <f aca="false">IF('New Tooling Jobs'!A31="","",'New Tooling Jobs'!A31)</f>
        <v/>
      </c>
      <c r="B29" s="14" t="str">
        <f aca="false">IF('New Tooling Jobs'!A31="","","New Tooling")</f>
        <v/>
      </c>
      <c r="C29" s="15" t="str">
        <f aca="false">IF('New Tooling Jobs'!B31="","",'New Tooling Jobs'!B31)</f>
        <v/>
      </c>
      <c r="D29" s="15" t="str">
        <f aca="false">IF('New Tooling Jobs'!E31="","",'New Tooling Jobs'!E31)</f>
        <v/>
      </c>
      <c r="E29" s="14" t="str">
        <f aca="false">IF('New Tooling Jobs'!G31="","",'New Tooling Jobs'!G31)</f>
        <v/>
      </c>
      <c r="F29" s="14" t="str">
        <f aca="false">IF('New Tooling Jobs'!H31="","",'New Tooling Jobs'!H31)</f>
        <v/>
      </c>
      <c r="G29" s="15" t="str">
        <f aca="false">IF('New Tooling Jobs'!I31="","",'New Tooling Jobs'!I31)</f>
        <v/>
      </c>
    </row>
    <row r="30" customFormat="false" ht="15" hidden="false" customHeight="false" outlineLevel="0" collapsed="false">
      <c r="A30" s="14" t="str">
        <f aca="false">IF('New Tooling Jobs'!A32="","",'New Tooling Jobs'!A32)</f>
        <v/>
      </c>
      <c r="B30" s="14" t="str">
        <f aca="false">IF('New Tooling Jobs'!A32="","","New Tooling")</f>
        <v/>
      </c>
      <c r="C30" s="15" t="str">
        <f aca="false">IF('New Tooling Jobs'!B32="","",'New Tooling Jobs'!B32)</f>
        <v/>
      </c>
      <c r="D30" s="15" t="str">
        <f aca="false">IF('New Tooling Jobs'!E32="","",'New Tooling Jobs'!E32)</f>
        <v/>
      </c>
      <c r="E30" s="14" t="str">
        <f aca="false">IF('New Tooling Jobs'!G32="","",'New Tooling Jobs'!G32)</f>
        <v/>
      </c>
      <c r="F30" s="14" t="str">
        <f aca="false">IF('New Tooling Jobs'!H32="","",'New Tooling Jobs'!H32)</f>
        <v/>
      </c>
      <c r="G30" s="15" t="str">
        <f aca="false">IF('New Tooling Jobs'!I32="","",'New Tooling Jobs'!I32)</f>
        <v/>
      </c>
    </row>
    <row r="31" customFormat="false" ht="15" hidden="false" customHeight="false" outlineLevel="0" collapsed="false">
      <c r="A31" s="14" t="str">
        <f aca="false">IF('New Tooling Jobs'!A33="","",'New Tooling Jobs'!A33)</f>
        <v/>
      </c>
      <c r="B31" s="14" t="str">
        <f aca="false">IF('New Tooling Jobs'!A33="","","New Tooling")</f>
        <v/>
      </c>
      <c r="C31" s="15" t="str">
        <f aca="false">IF('New Tooling Jobs'!B33="","",'New Tooling Jobs'!B33)</f>
        <v/>
      </c>
      <c r="D31" s="15" t="str">
        <f aca="false">IF('New Tooling Jobs'!E33="","",'New Tooling Jobs'!E33)</f>
        <v/>
      </c>
      <c r="E31" s="14" t="str">
        <f aca="false">IF('New Tooling Jobs'!G33="","",'New Tooling Jobs'!G33)</f>
        <v/>
      </c>
      <c r="F31" s="14" t="str">
        <f aca="false">IF('New Tooling Jobs'!H33="","",'New Tooling Jobs'!H33)</f>
        <v/>
      </c>
      <c r="G31" s="15" t="str">
        <f aca="false">IF('New Tooling Jobs'!I33="","",'New Tooling Jobs'!I33)</f>
        <v/>
      </c>
    </row>
    <row r="32" customFormat="false" ht="15" hidden="false" customHeight="false" outlineLevel="0" collapsed="false">
      <c r="A32" s="14" t="str">
        <f aca="false">IF('New Tooling Jobs'!A34="","",'New Tooling Jobs'!A34)</f>
        <v/>
      </c>
      <c r="B32" s="14" t="str">
        <f aca="false">IF('New Tooling Jobs'!A34="","","New Tooling")</f>
        <v/>
      </c>
      <c r="C32" s="15" t="str">
        <f aca="false">IF('New Tooling Jobs'!B34="","",'New Tooling Jobs'!B34)</f>
        <v/>
      </c>
      <c r="D32" s="15" t="str">
        <f aca="false">IF('New Tooling Jobs'!E34="","",'New Tooling Jobs'!E34)</f>
        <v/>
      </c>
      <c r="E32" s="14" t="str">
        <f aca="false">IF('New Tooling Jobs'!G34="","",'New Tooling Jobs'!G34)</f>
        <v/>
      </c>
      <c r="F32" s="14" t="str">
        <f aca="false">IF('New Tooling Jobs'!H34="","",'New Tooling Jobs'!H34)</f>
        <v/>
      </c>
      <c r="G32" s="15" t="str">
        <f aca="false">IF('New Tooling Jobs'!I34="","",'New Tooling Jobs'!I34)</f>
        <v/>
      </c>
    </row>
    <row r="33" customFormat="false" ht="15" hidden="false" customHeight="false" outlineLevel="0" collapsed="false">
      <c r="A33" s="14" t="str">
        <f aca="false">IF('New Tooling Jobs'!A35="","",'New Tooling Jobs'!A35)</f>
        <v/>
      </c>
      <c r="B33" s="14" t="str">
        <f aca="false">IF('New Tooling Jobs'!A35="","","New Tooling")</f>
        <v/>
      </c>
      <c r="C33" s="15" t="str">
        <f aca="false">IF('New Tooling Jobs'!B35="","",'New Tooling Jobs'!B35)</f>
        <v/>
      </c>
      <c r="D33" s="15" t="str">
        <f aca="false">IF('New Tooling Jobs'!E35="","",'New Tooling Jobs'!E35)</f>
        <v/>
      </c>
      <c r="E33" s="14" t="str">
        <f aca="false">IF('New Tooling Jobs'!G35="","",'New Tooling Jobs'!G35)</f>
        <v/>
      </c>
      <c r="F33" s="14" t="str">
        <f aca="false">IF('New Tooling Jobs'!H35="","",'New Tooling Jobs'!H35)</f>
        <v/>
      </c>
      <c r="G33" s="15" t="str">
        <f aca="false">IF('New Tooling Jobs'!I35="","",'New Tooling Jobs'!I35)</f>
        <v/>
      </c>
    </row>
    <row r="34" customFormat="false" ht="15" hidden="false" customHeight="false" outlineLevel="0" collapsed="false">
      <c r="A34" s="14" t="str">
        <f aca="false">IF('New Tooling Jobs'!A36="","",'New Tooling Jobs'!A36)</f>
        <v/>
      </c>
      <c r="B34" s="14" t="str">
        <f aca="false">IF('New Tooling Jobs'!A36="","","New Tooling")</f>
        <v/>
      </c>
      <c r="C34" s="15" t="str">
        <f aca="false">IF('New Tooling Jobs'!B36="","",'New Tooling Jobs'!B36)</f>
        <v/>
      </c>
      <c r="D34" s="15" t="str">
        <f aca="false">IF('New Tooling Jobs'!E36="","",'New Tooling Jobs'!E36)</f>
        <v/>
      </c>
      <c r="E34" s="14" t="str">
        <f aca="false">IF('New Tooling Jobs'!G36="","",'New Tooling Jobs'!G36)</f>
        <v/>
      </c>
      <c r="F34" s="14" t="str">
        <f aca="false">IF('New Tooling Jobs'!H36="","",'New Tooling Jobs'!H36)</f>
        <v/>
      </c>
      <c r="G34" s="15" t="str">
        <f aca="false">IF('New Tooling Jobs'!I36="","",'New Tooling Jobs'!I36)</f>
        <v/>
      </c>
    </row>
    <row r="35" customFormat="false" ht="15" hidden="false" customHeight="false" outlineLevel="0" collapsed="false">
      <c r="A35" s="14" t="str">
        <f aca="false">IF('New Tooling Jobs'!A37="","",'New Tooling Jobs'!A37)</f>
        <v/>
      </c>
      <c r="B35" s="14" t="str">
        <f aca="false">IF('New Tooling Jobs'!A37="","","New Tooling")</f>
        <v/>
      </c>
      <c r="C35" s="15" t="str">
        <f aca="false">IF('New Tooling Jobs'!B37="","",'New Tooling Jobs'!B37)</f>
        <v/>
      </c>
      <c r="D35" s="15" t="str">
        <f aca="false">IF('New Tooling Jobs'!E37="","",'New Tooling Jobs'!E37)</f>
        <v/>
      </c>
      <c r="E35" s="14" t="str">
        <f aca="false">IF('New Tooling Jobs'!G37="","",'New Tooling Jobs'!G37)</f>
        <v/>
      </c>
      <c r="F35" s="14" t="str">
        <f aca="false">IF('New Tooling Jobs'!H37="","",'New Tooling Jobs'!H37)</f>
        <v/>
      </c>
      <c r="G35" s="15" t="str">
        <f aca="false">IF('New Tooling Jobs'!I37="","",'New Tooling Jobs'!I37)</f>
        <v/>
      </c>
    </row>
    <row r="36" customFormat="false" ht="15" hidden="false" customHeight="false" outlineLevel="0" collapsed="false">
      <c r="A36" s="14" t="str">
        <f aca="false">IF('New Tooling Jobs'!A38="","",'New Tooling Jobs'!A38)</f>
        <v/>
      </c>
      <c r="B36" s="14" t="str">
        <f aca="false">IF('New Tooling Jobs'!A38="","","New Tooling")</f>
        <v/>
      </c>
      <c r="C36" s="15" t="str">
        <f aca="false">IF('New Tooling Jobs'!B38="","",'New Tooling Jobs'!B38)</f>
        <v/>
      </c>
      <c r="D36" s="15" t="str">
        <f aca="false">IF('New Tooling Jobs'!E38="","",'New Tooling Jobs'!E38)</f>
        <v/>
      </c>
      <c r="E36" s="14" t="str">
        <f aca="false">IF('New Tooling Jobs'!G38="","",'New Tooling Jobs'!G38)</f>
        <v/>
      </c>
      <c r="F36" s="14" t="str">
        <f aca="false">IF('New Tooling Jobs'!H38="","",'New Tooling Jobs'!H38)</f>
        <v/>
      </c>
      <c r="G36" s="15" t="str">
        <f aca="false">IF('New Tooling Jobs'!I38="","",'New Tooling Jobs'!I38)</f>
        <v/>
      </c>
    </row>
    <row r="37" customFormat="false" ht="15" hidden="false" customHeight="false" outlineLevel="0" collapsed="false">
      <c r="A37" s="14" t="str">
        <f aca="false">IF('New Tooling Jobs'!A39="","",'New Tooling Jobs'!A39)</f>
        <v/>
      </c>
      <c r="B37" s="14" t="str">
        <f aca="false">IF('New Tooling Jobs'!A39="","","New Tooling")</f>
        <v/>
      </c>
      <c r="C37" s="15" t="str">
        <f aca="false">IF('New Tooling Jobs'!B39="","",'New Tooling Jobs'!B39)</f>
        <v/>
      </c>
      <c r="D37" s="15" t="str">
        <f aca="false">IF('New Tooling Jobs'!E39="","",'New Tooling Jobs'!E39)</f>
        <v/>
      </c>
      <c r="E37" s="14" t="str">
        <f aca="false">IF('New Tooling Jobs'!G39="","",'New Tooling Jobs'!G39)</f>
        <v/>
      </c>
      <c r="F37" s="14" t="str">
        <f aca="false">IF('New Tooling Jobs'!H39="","",'New Tooling Jobs'!H39)</f>
        <v/>
      </c>
      <c r="G37" s="15" t="str">
        <f aca="false">IF('New Tooling Jobs'!I39="","",'New Tooling Jobs'!I39)</f>
        <v/>
      </c>
    </row>
    <row r="38" customFormat="false" ht="15" hidden="false" customHeight="false" outlineLevel="0" collapsed="false">
      <c r="A38" s="14" t="str">
        <f aca="false">IF('New Tooling Jobs'!A40="","",'New Tooling Jobs'!A40)</f>
        <v/>
      </c>
      <c r="B38" s="14" t="str">
        <f aca="false">IF('New Tooling Jobs'!A40="","","New Tooling")</f>
        <v/>
      </c>
      <c r="C38" s="15" t="str">
        <f aca="false">IF('New Tooling Jobs'!B40="","",'New Tooling Jobs'!B40)</f>
        <v/>
      </c>
      <c r="D38" s="15" t="str">
        <f aca="false">IF('New Tooling Jobs'!E40="","",'New Tooling Jobs'!E40)</f>
        <v/>
      </c>
      <c r="E38" s="14" t="str">
        <f aca="false">IF('New Tooling Jobs'!G40="","",'New Tooling Jobs'!G40)</f>
        <v/>
      </c>
      <c r="F38" s="14" t="str">
        <f aca="false">IF('New Tooling Jobs'!H40="","",'New Tooling Jobs'!H40)</f>
        <v/>
      </c>
      <c r="G38" s="15" t="str">
        <f aca="false">IF('New Tooling Jobs'!I40="","",'New Tooling Jobs'!I40)</f>
        <v/>
      </c>
    </row>
    <row r="39" customFormat="false" ht="15" hidden="false" customHeight="false" outlineLevel="0" collapsed="false">
      <c r="A39" s="14" t="str">
        <f aca="false">IF('New Tooling Jobs'!A41="","",'New Tooling Jobs'!A41)</f>
        <v/>
      </c>
      <c r="B39" s="14" t="str">
        <f aca="false">IF('New Tooling Jobs'!A41="","","New Tooling")</f>
        <v/>
      </c>
      <c r="C39" s="15" t="str">
        <f aca="false">IF('New Tooling Jobs'!B41="","",'New Tooling Jobs'!B41)</f>
        <v/>
      </c>
      <c r="D39" s="15" t="str">
        <f aca="false">IF('New Tooling Jobs'!E41="","",'New Tooling Jobs'!E41)</f>
        <v/>
      </c>
      <c r="E39" s="14" t="str">
        <f aca="false">IF('New Tooling Jobs'!G41="","",'New Tooling Jobs'!G41)</f>
        <v/>
      </c>
      <c r="F39" s="14" t="str">
        <f aca="false">IF('New Tooling Jobs'!H41="","",'New Tooling Jobs'!H41)</f>
        <v/>
      </c>
      <c r="G39" s="15" t="str">
        <f aca="false">IF('New Tooling Jobs'!I41="","",'New Tooling Jobs'!I41)</f>
        <v/>
      </c>
    </row>
    <row r="40" customFormat="false" ht="15" hidden="false" customHeight="false" outlineLevel="0" collapsed="false">
      <c r="A40" s="14" t="str">
        <f aca="false">IF('New Tooling Jobs'!A42="","",'New Tooling Jobs'!A42)</f>
        <v/>
      </c>
      <c r="B40" s="14" t="str">
        <f aca="false">IF('New Tooling Jobs'!A42="","","New Tooling")</f>
        <v/>
      </c>
      <c r="C40" s="15" t="str">
        <f aca="false">IF('New Tooling Jobs'!B42="","",'New Tooling Jobs'!B42)</f>
        <v/>
      </c>
      <c r="D40" s="15" t="str">
        <f aca="false">IF('New Tooling Jobs'!E42="","",'New Tooling Jobs'!E42)</f>
        <v/>
      </c>
      <c r="E40" s="14" t="str">
        <f aca="false">IF('New Tooling Jobs'!G42="","",'New Tooling Jobs'!G42)</f>
        <v/>
      </c>
      <c r="F40" s="14" t="str">
        <f aca="false">IF('New Tooling Jobs'!H42="","",'New Tooling Jobs'!H42)</f>
        <v/>
      </c>
      <c r="G40" s="15" t="str">
        <f aca="false">IF('New Tooling Jobs'!I42="","",'New Tooling Jobs'!I42)</f>
        <v/>
      </c>
    </row>
    <row r="41" customFormat="false" ht="15" hidden="false" customHeight="false" outlineLevel="0" collapsed="false">
      <c r="A41" s="14" t="str">
        <f aca="false">IF('New Tooling Jobs'!A43="","",'New Tooling Jobs'!A43)</f>
        <v/>
      </c>
      <c r="B41" s="14" t="str">
        <f aca="false">IF('New Tooling Jobs'!A43="","","New Tooling")</f>
        <v/>
      </c>
      <c r="C41" s="15" t="str">
        <f aca="false">IF('New Tooling Jobs'!B43="","",'New Tooling Jobs'!B43)</f>
        <v/>
      </c>
      <c r="D41" s="15" t="str">
        <f aca="false">IF('New Tooling Jobs'!E43="","",'New Tooling Jobs'!E43)</f>
        <v/>
      </c>
      <c r="E41" s="14" t="str">
        <f aca="false">IF('New Tooling Jobs'!G43="","",'New Tooling Jobs'!G43)</f>
        <v/>
      </c>
      <c r="F41" s="14" t="str">
        <f aca="false">IF('New Tooling Jobs'!H43="","",'New Tooling Jobs'!H43)</f>
        <v/>
      </c>
      <c r="G41" s="15" t="str">
        <f aca="false">IF('New Tooling Jobs'!I43="","",'New Tooling Jobs'!I43)</f>
        <v/>
      </c>
    </row>
    <row r="42" customFormat="false" ht="15" hidden="false" customHeight="false" outlineLevel="0" collapsed="false">
      <c r="A42" s="14" t="str">
        <f aca="false">IF('New Tooling Jobs'!A44="","",'New Tooling Jobs'!A44)</f>
        <v/>
      </c>
      <c r="B42" s="14" t="str">
        <f aca="false">IF('New Tooling Jobs'!A44="","","New Tooling")</f>
        <v/>
      </c>
      <c r="C42" s="15" t="str">
        <f aca="false">IF('New Tooling Jobs'!B44="","",'New Tooling Jobs'!B44)</f>
        <v/>
      </c>
      <c r="D42" s="15" t="str">
        <f aca="false">IF('New Tooling Jobs'!E44="","",'New Tooling Jobs'!E44)</f>
        <v/>
      </c>
      <c r="E42" s="14" t="str">
        <f aca="false">IF('New Tooling Jobs'!G44="","",'New Tooling Jobs'!G44)</f>
        <v/>
      </c>
      <c r="F42" s="14" t="str">
        <f aca="false">IF('New Tooling Jobs'!H44="","",'New Tooling Jobs'!H44)</f>
        <v/>
      </c>
      <c r="G42" s="15" t="str">
        <f aca="false">IF('New Tooling Jobs'!I44="","",'New Tooling Jobs'!I44)</f>
        <v/>
      </c>
    </row>
    <row r="43" customFormat="false" ht="15" hidden="false" customHeight="false" outlineLevel="0" collapsed="false">
      <c r="A43" s="14" t="str">
        <f aca="false">IF('New Tooling Jobs'!A45="","",'New Tooling Jobs'!A45)</f>
        <v/>
      </c>
      <c r="B43" s="14" t="str">
        <f aca="false">IF('New Tooling Jobs'!A45="","","New Tooling")</f>
        <v/>
      </c>
      <c r="C43" s="15" t="str">
        <f aca="false">IF('New Tooling Jobs'!B45="","",'New Tooling Jobs'!B45)</f>
        <v/>
      </c>
      <c r="D43" s="15" t="str">
        <f aca="false">IF('New Tooling Jobs'!E45="","",'New Tooling Jobs'!E45)</f>
        <v/>
      </c>
      <c r="E43" s="14" t="str">
        <f aca="false">IF('New Tooling Jobs'!G45="","",'New Tooling Jobs'!G45)</f>
        <v/>
      </c>
      <c r="F43" s="14" t="str">
        <f aca="false">IF('New Tooling Jobs'!H45="","",'New Tooling Jobs'!H45)</f>
        <v/>
      </c>
      <c r="G43" s="15" t="str">
        <f aca="false">IF('New Tooling Jobs'!I45="","",'New Tooling Jobs'!I45)</f>
        <v/>
      </c>
    </row>
    <row r="44" customFormat="false" ht="15" hidden="false" customHeight="false" outlineLevel="0" collapsed="false">
      <c r="A44" s="14" t="str">
        <f aca="false">IF('New Tooling Jobs'!A46="","",'New Tooling Jobs'!A46)</f>
        <v/>
      </c>
      <c r="B44" s="14" t="str">
        <f aca="false">IF('New Tooling Jobs'!A46="","","New Tooling")</f>
        <v/>
      </c>
      <c r="C44" s="15" t="str">
        <f aca="false">IF('New Tooling Jobs'!B46="","",'New Tooling Jobs'!B46)</f>
        <v/>
      </c>
      <c r="D44" s="15" t="str">
        <f aca="false">IF('New Tooling Jobs'!E46="","",'New Tooling Jobs'!E46)</f>
        <v/>
      </c>
      <c r="E44" s="14" t="str">
        <f aca="false">IF('New Tooling Jobs'!G46="","",'New Tooling Jobs'!G46)</f>
        <v/>
      </c>
      <c r="F44" s="14" t="str">
        <f aca="false">IF('New Tooling Jobs'!H46="","",'New Tooling Jobs'!H46)</f>
        <v/>
      </c>
      <c r="G44" s="15" t="str">
        <f aca="false">IF('New Tooling Jobs'!I46="","",'New Tooling Jobs'!I46)</f>
        <v/>
      </c>
    </row>
    <row r="45" customFormat="false" ht="15" hidden="false" customHeight="false" outlineLevel="0" collapsed="false">
      <c r="A45" s="14" t="str">
        <f aca="false">IF('New Tooling Jobs'!A47="","",'New Tooling Jobs'!A47)</f>
        <v/>
      </c>
      <c r="B45" s="14" t="str">
        <f aca="false">IF('New Tooling Jobs'!A47="","","New Tooling")</f>
        <v/>
      </c>
      <c r="C45" s="15" t="str">
        <f aca="false">IF('New Tooling Jobs'!B47="","",'New Tooling Jobs'!B47)</f>
        <v/>
      </c>
      <c r="D45" s="15" t="str">
        <f aca="false">IF('New Tooling Jobs'!E47="","",'New Tooling Jobs'!E47)</f>
        <v/>
      </c>
      <c r="E45" s="14" t="str">
        <f aca="false">IF('New Tooling Jobs'!G47="","",'New Tooling Jobs'!G47)</f>
        <v/>
      </c>
      <c r="F45" s="14" t="str">
        <f aca="false">IF('New Tooling Jobs'!H47="","",'New Tooling Jobs'!H47)</f>
        <v/>
      </c>
      <c r="G45" s="15" t="str">
        <f aca="false">IF('New Tooling Jobs'!I47="","",'New Tooling Jobs'!I47)</f>
        <v/>
      </c>
    </row>
    <row r="46" customFormat="false" ht="15" hidden="false" customHeight="false" outlineLevel="0" collapsed="false">
      <c r="A46" s="14" t="str">
        <f aca="false">IF('New Tooling Jobs'!A48="","",'New Tooling Jobs'!A48)</f>
        <v/>
      </c>
      <c r="B46" s="14" t="str">
        <f aca="false">IF('New Tooling Jobs'!A48="","","New Tooling")</f>
        <v/>
      </c>
      <c r="C46" s="15" t="str">
        <f aca="false">IF('New Tooling Jobs'!B48="","",'New Tooling Jobs'!B48)</f>
        <v/>
      </c>
      <c r="D46" s="15" t="str">
        <f aca="false">IF('New Tooling Jobs'!E48="","",'New Tooling Jobs'!E48)</f>
        <v/>
      </c>
      <c r="E46" s="14" t="str">
        <f aca="false">IF('New Tooling Jobs'!G48="","",'New Tooling Jobs'!G48)</f>
        <v/>
      </c>
      <c r="F46" s="14" t="str">
        <f aca="false">IF('New Tooling Jobs'!H48="","",'New Tooling Jobs'!H48)</f>
        <v/>
      </c>
      <c r="G46" s="15" t="str">
        <f aca="false">IF('New Tooling Jobs'!I48="","",'New Tooling Jobs'!I48)</f>
        <v/>
      </c>
    </row>
    <row r="47" customFormat="false" ht="15" hidden="false" customHeight="false" outlineLevel="0" collapsed="false">
      <c r="A47" s="14" t="str">
        <f aca="false">IF('New Tooling Jobs'!A49="","",'New Tooling Jobs'!A49)</f>
        <v/>
      </c>
      <c r="B47" s="14" t="str">
        <f aca="false">IF('New Tooling Jobs'!A49="","","New Tooling")</f>
        <v/>
      </c>
      <c r="C47" s="15" t="str">
        <f aca="false">IF('New Tooling Jobs'!B49="","",'New Tooling Jobs'!B49)</f>
        <v/>
      </c>
      <c r="D47" s="15" t="str">
        <f aca="false">IF('New Tooling Jobs'!E49="","",'New Tooling Jobs'!E49)</f>
        <v/>
      </c>
      <c r="E47" s="14" t="str">
        <f aca="false">IF('New Tooling Jobs'!G49="","",'New Tooling Jobs'!G49)</f>
        <v/>
      </c>
      <c r="F47" s="14" t="str">
        <f aca="false">IF('New Tooling Jobs'!H49="","",'New Tooling Jobs'!H49)</f>
        <v/>
      </c>
      <c r="G47" s="15" t="str">
        <f aca="false">IF('New Tooling Jobs'!I49="","",'New Tooling Jobs'!I49)</f>
        <v/>
      </c>
    </row>
    <row r="48" customFormat="false" ht="15" hidden="false" customHeight="false" outlineLevel="0" collapsed="false">
      <c r="A48" s="14" t="str">
        <f aca="false">IF('New Tooling Jobs'!A50="","",'New Tooling Jobs'!A50)</f>
        <v/>
      </c>
      <c r="B48" s="14" t="str">
        <f aca="false">IF('New Tooling Jobs'!A50="","","New Tooling")</f>
        <v/>
      </c>
      <c r="C48" s="15" t="str">
        <f aca="false">IF('New Tooling Jobs'!B50="","",'New Tooling Jobs'!B50)</f>
        <v/>
      </c>
      <c r="D48" s="15" t="str">
        <f aca="false">IF('New Tooling Jobs'!E50="","",'New Tooling Jobs'!E50)</f>
        <v/>
      </c>
      <c r="E48" s="14" t="str">
        <f aca="false">IF('New Tooling Jobs'!G50="","",'New Tooling Jobs'!G50)</f>
        <v/>
      </c>
      <c r="F48" s="14" t="str">
        <f aca="false">IF('New Tooling Jobs'!H50="","",'New Tooling Jobs'!H50)</f>
        <v/>
      </c>
      <c r="G48" s="15" t="str">
        <f aca="false">IF('New Tooling Jobs'!I50="","",'New Tooling Jobs'!I50)</f>
        <v/>
      </c>
    </row>
    <row r="49" customFormat="false" ht="15" hidden="false" customHeight="false" outlineLevel="0" collapsed="false">
      <c r="A49" s="14" t="str">
        <f aca="false">IF('New Tooling Jobs'!A51="","",'New Tooling Jobs'!A51)</f>
        <v/>
      </c>
      <c r="B49" s="14" t="str">
        <f aca="false">IF('New Tooling Jobs'!A51="","","New Tooling")</f>
        <v/>
      </c>
      <c r="C49" s="15" t="str">
        <f aca="false">IF('New Tooling Jobs'!B51="","",'New Tooling Jobs'!B51)</f>
        <v/>
      </c>
      <c r="D49" s="15" t="str">
        <f aca="false">IF('New Tooling Jobs'!E51="","",'New Tooling Jobs'!E51)</f>
        <v/>
      </c>
      <c r="E49" s="14" t="str">
        <f aca="false">IF('New Tooling Jobs'!G51="","",'New Tooling Jobs'!G51)</f>
        <v/>
      </c>
      <c r="F49" s="14" t="str">
        <f aca="false">IF('New Tooling Jobs'!H51="","",'New Tooling Jobs'!H51)</f>
        <v/>
      </c>
      <c r="G49" s="15" t="str">
        <f aca="false">IF('New Tooling Jobs'!I51="","",'New Tooling Jobs'!I51)</f>
        <v/>
      </c>
    </row>
    <row r="50" customFormat="false" ht="15" hidden="false" customHeight="false" outlineLevel="0" collapsed="false">
      <c r="A50" s="14" t="str">
        <f aca="false">IF('New Tooling Jobs'!A52="","",'New Tooling Jobs'!A52)</f>
        <v/>
      </c>
      <c r="B50" s="14" t="str">
        <f aca="false">IF('New Tooling Jobs'!A52="","","New Tooling")</f>
        <v/>
      </c>
      <c r="C50" s="15" t="str">
        <f aca="false">IF('New Tooling Jobs'!B52="","",'New Tooling Jobs'!B52)</f>
        <v/>
      </c>
      <c r="D50" s="15" t="str">
        <f aca="false">IF('New Tooling Jobs'!E52="","",'New Tooling Jobs'!E52)</f>
        <v/>
      </c>
      <c r="E50" s="14" t="str">
        <f aca="false">IF('New Tooling Jobs'!G52="","",'New Tooling Jobs'!G52)</f>
        <v/>
      </c>
      <c r="F50" s="14" t="str">
        <f aca="false">IF('New Tooling Jobs'!H52="","",'New Tooling Jobs'!H52)</f>
        <v/>
      </c>
      <c r="G50" s="15" t="str">
        <f aca="false">IF('New Tooling Jobs'!I52="","",'New Tooling Jobs'!I52)</f>
        <v/>
      </c>
    </row>
    <row r="51" customFormat="false" ht="15" hidden="false" customHeight="false" outlineLevel="0" collapsed="false">
      <c r="A51" s="14" t="str">
        <f aca="false">IF('New Tooling Jobs'!A53="","",'New Tooling Jobs'!A53)</f>
        <v/>
      </c>
      <c r="B51" s="14" t="str">
        <f aca="false">IF('New Tooling Jobs'!A53="","","New Tooling")</f>
        <v/>
      </c>
      <c r="C51" s="15" t="str">
        <f aca="false">IF('New Tooling Jobs'!B53="","",'New Tooling Jobs'!B53)</f>
        <v/>
      </c>
      <c r="D51" s="15" t="str">
        <f aca="false">IF('New Tooling Jobs'!E53="","",'New Tooling Jobs'!E53)</f>
        <v/>
      </c>
      <c r="E51" s="14" t="str">
        <f aca="false">IF('New Tooling Jobs'!G53="","",'New Tooling Jobs'!G53)</f>
        <v/>
      </c>
      <c r="F51" s="14" t="str">
        <f aca="false">IF('New Tooling Jobs'!H53="","",'New Tooling Jobs'!H53)</f>
        <v/>
      </c>
      <c r="G51" s="15" t="str">
        <f aca="false">IF('New Tooling Jobs'!I53="","",'New Tooling Jobs'!I53)</f>
        <v/>
      </c>
    </row>
    <row r="52" customFormat="false" ht="15" hidden="false" customHeight="false" outlineLevel="0" collapsed="false">
      <c r="A52" s="14" t="str">
        <f aca="false">IF('New Tooling Jobs'!A54="","",'New Tooling Jobs'!A54)</f>
        <v/>
      </c>
      <c r="B52" s="14" t="str">
        <f aca="false">IF('New Tooling Jobs'!A54="","","New Tooling")</f>
        <v/>
      </c>
      <c r="C52" s="15" t="str">
        <f aca="false">IF('New Tooling Jobs'!B54="","",'New Tooling Jobs'!B54)</f>
        <v/>
      </c>
      <c r="D52" s="15" t="str">
        <f aca="false">IF('New Tooling Jobs'!E54="","",'New Tooling Jobs'!E54)</f>
        <v/>
      </c>
      <c r="E52" s="14" t="str">
        <f aca="false">IF('New Tooling Jobs'!G54="","",'New Tooling Jobs'!G54)</f>
        <v/>
      </c>
      <c r="F52" s="14" t="str">
        <f aca="false">IF('New Tooling Jobs'!H54="","",'New Tooling Jobs'!H54)</f>
        <v/>
      </c>
      <c r="G52" s="15" t="str">
        <f aca="false">IF('New Tooling Jobs'!I54="","",'New Tooling Jobs'!I54)</f>
        <v/>
      </c>
    </row>
    <row r="53" customFormat="false" ht="15" hidden="false" customHeight="false" outlineLevel="0" collapsed="false">
      <c r="A53" s="14" t="str">
        <f aca="false">IF('New Tooling Jobs'!A55="","",'New Tooling Jobs'!A55)</f>
        <v/>
      </c>
      <c r="B53" s="14" t="str">
        <f aca="false">IF('New Tooling Jobs'!A55="","","New Tooling")</f>
        <v/>
      </c>
      <c r="C53" s="15" t="str">
        <f aca="false">IF('New Tooling Jobs'!B55="","",'New Tooling Jobs'!B55)</f>
        <v/>
      </c>
      <c r="D53" s="15" t="str">
        <f aca="false">IF('New Tooling Jobs'!E55="","",'New Tooling Jobs'!E55)</f>
        <v/>
      </c>
      <c r="E53" s="14" t="str">
        <f aca="false">IF('New Tooling Jobs'!G55="","",'New Tooling Jobs'!G55)</f>
        <v/>
      </c>
      <c r="F53" s="14" t="str">
        <f aca="false">IF('New Tooling Jobs'!H55="","",'New Tooling Jobs'!H55)</f>
        <v/>
      </c>
      <c r="G53" s="15" t="str">
        <f aca="false">IF('New Tooling Jobs'!I55="","",'New Tooling Jobs'!I55)</f>
        <v/>
      </c>
    </row>
    <row r="54" customFormat="false" ht="15" hidden="false" customHeight="false" outlineLevel="0" collapsed="false">
      <c r="A54" s="14" t="str">
        <f aca="false">IF('New Tooling Jobs'!A56="","",'New Tooling Jobs'!A56)</f>
        <v/>
      </c>
      <c r="B54" s="14" t="str">
        <f aca="false">IF('New Tooling Jobs'!A56="","","New Tooling")</f>
        <v/>
      </c>
      <c r="C54" s="15" t="str">
        <f aca="false">IF('New Tooling Jobs'!B56="","",'New Tooling Jobs'!B56)</f>
        <v/>
      </c>
      <c r="D54" s="15" t="str">
        <f aca="false">IF('New Tooling Jobs'!E56="","",'New Tooling Jobs'!E56)</f>
        <v/>
      </c>
      <c r="E54" s="14" t="str">
        <f aca="false">IF('New Tooling Jobs'!G56="","",'New Tooling Jobs'!G56)</f>
        <v/>
      </c>
      <c r="F54" s="14" t="str">
        <f aca="false">IF('New Tooling Jobs'!H56="","",'New Tooling Jobs'!H56)</f>
        <v/>
      </c>
      <c r="G54" s="15" t="str">
        <f aca="false">IF('New Tooling Jobs'!I56="","",'New Tooling Jobs'!I56)</f>
        <v/>
      </c>
    </row>
    <row r="55" customFormat="false" ht="15" hidden="false" customHeight="false" outlineLevel="0" collapsed="false">
      <c r="A55" s="14" t="str">
        <f aca="false">IF('New Tooling Jobs'!A57="","",'New Tooling Jobs'!A57)</f>
        <v/>
      </c>
      <c r="B55" s="14" t="str">
        <f aca="false">IF('New Tooling Jobs'!A57="","","New Tooling")</f>
        <v/>
      </c>
      <c r="C55" s="15" t="str">
        <f aca="false">IF('New Tooling Jobs'!B57="","",'New Tooling Jobs'!B57)</f>
        <v/>
      </c>
      <c r="D55" s="15" t="str">
        <f aca="false">IF('New Tooling Jobs'!E57="","",'New Tooling Jobs'!E57)</f>
        <v/>
      </c>
      <c r="E55" s="14" t="str">
        <f aca="false">IF('New Tooling Jobs'!G57="","",'New Tooling Jobs'!G57)</f>
        <v/>
      </c>
      <c r="F55" s="14" t="str">
        <f aca="false">IF('New Tooling Jobs'!H57="","",'New Tooling Jobs'!H57)</f>
        <v/>
      </c>
      <c r="G55" s="15" t="str">
        <f aca="false">IF('New Tooling Jobs'!I57="","",'New Tooling Jobs'!I57)</f>
        <v/>
      </c>
    </row>
    <row r="56" customFormat="false" ht="15" hidden="false" customHeight="false" outlineLevel="0" collapsed="false">
      <c r="A56" s="14" t="str">
        <f aca="false">IF('New Tooling Jobs'!A58="","",'New Tooling Jobs'!A58)</f>
        <v/>
      </c>
      <c r="B56" s="14" t="str">
        <f aca="false">IF('New Tooling Jobs'!A58="","","New Tooling")</f>
        <v/>
      </c>
      <c r="C56" s="15" t="str">
        <f aca="false">IF('New Tooling Jobs'!B58="","",'New Tooling Jobs'!B58)</f>
        <v/>
      </c>
      <c r="D56" s="15" t="str">
        <f aca="false">IF('New Tooling Jobs'!E58="","",'New Tooling Jobs'!E58)</f>
        <v/>
      </c>
      <c r="E56" s="14" t="str">
        <f aca="false">IF('New Tooling Jobs'!G58="","",'New Tooling Jobs'!G58)</f>
        <v/>
      </c>
      <c r="F56" s="14" t="str">
        <f aca="false">IF('New Tooling Jobs'!H58="","",'New Tooling Jobs'!H58)</f>
        <v/>
      </c>
      <c r="G56" s="15" t="str">
        <f aca="false">IF('New Tooling Jobs'!I58="","",'New Tooling Jobs'!I58)</f>
        <v/>
      </c>
    </row>
    <row r="57" customFormat="false" ht="15" hidden="false" customHeight="false" outlineLevel="0" collapsed="false">
      <c r="A57" s="14" t="str">
        <f aca="false">IF('New Tooling Jobs'!A59="","",'New Tooling Jobs'!A59)</f>
        <v/>
      </c>
      <c r="B57" s="14" t="str">
        <f aca="false">IF('New Tooling Jobs'!A59="","","New Tooling")</f>
        <v/>
      </c>
      <c r="C57" s="15" t="str">
        <f aca="false">IF('New Tooling Jobs'!B59="","",'New Tooling Jobs'!B59)</f>
        <v/>
      </c>
      <c r="D57" s="15" t="str">
        <f aca="false">IF('New Tooling Jobs'!E59="","",'New Tooling Jobs'!E59)</f>
        <v/>
      </c>
      <c r="E57" s="14" t="str">
        <f aca="false">IF('New Tooling Jobs'!G59="","",'New Tooling Jobs'!G59)</f>
        <v/>
      </c>
      <c r="F57" s="14" t="str">
        <f aca="false">IF('New Tooling Jobs'!H59="","",'New Tooling Jobs'!H59)</f>
        <v/>
      </c>
      <c r="G57" s="15" t="str">
        <f aca="false">IF('New Tooling Jobs'!I59="","",'New Tooling Jobs'!I59)</f>
        <v/>
      </c>
    </row>
    <row r="58" customFormat="false" ht="15" hidden="false" customHeight="false" outlineLevel="0" collapsed="false">
      <c r="A58" s="14" t="str">
        <f aca="false">IF('New Tooling Jobs'!A60="","",'New Tooling Jobs'!A60)</f>
        <v/>
      </c>
      <c r="B58" s="14" t="str">
        <f aca="false">IF('New Tooling Jobs'!A60="","","New Tooling")</f>
        <v/>
      </c>
      <c r="C58" s="15" t="str">
        <f aca="false">IF('New Tooling Jobs'!B60="","",'New Tooling Jobs'!B60)</f>
        <v/>
      </c>
      <c r="D58" s="15" t="str">
        <f aca="false">IF('New Tooling Jobs'!E60="","",'New Tooling Jobs'!E60)</f>
        <v/>
      </c>
      <c r="E58" s="14" t="str">
        <f aca="false">IF('New Tooling Jobs'!G60="","",'New Tooling Jobs'!G60)</f>
        <v/>
      </c>
      <c r="F58" s="14" t="str">
        <f aca="false">IF('New Tooling Jobs'!H60="","",'New Tooling Jobs'!H60)</f>
        <v/>
      </c>
      <c r="G58" s="15" t="str">
        <f aca="false">IF('New Tooling Jobs'!I60="","",'New Tooling Jobs'!I60)</f>
        <v/>
      </c>
    </row>
    <row r="59" customFormat="false" ht="15" hidden="false" customHeight="false" outlineLevel="0" collapsed="false">
      <c r="A59" s="14" t="str">
        <f aca="false">IF('New Tooling Jobs'!A61="","",'New Tooling Jobs'!A61)</f>
        <v/>
      </c>
      <c r="B59" s="14" t="str">
        <f aca="false">IF('New Tooling Jobs'!A61="","","New Tooling")</f>
        <v/>
      </c>
      <c r="C59" s="15" t="str">
        <f aca="false">IF('New Tooling Jobs'!B61="","",'New Tooling Jobs'!B61)</f>
        <v/>
      </c>
      <c r="D59" s="15" t="str">
        <f aca="false">IF('New Tooling Jobs'!E61="","",'New Tooling Jobs'!E61)</f>
        <v/>
      </c>
      <c r="E59" s="14" t="str">
        <f aca="false">IF('New Tooling Jobs'!G61="","",'New Tooling Jobs'!G61)</f>
        <v/>
      </c>
      <c r="F59" s="14" t="str">
        <f aca="false">IF('New Tooling Jobs'!H61="","",'New Tooling Jobs'!H61)</f>
        <v/>
      </c>
      <c r="G59" s="15" t="str">
        <f aca="false">IF('New Tooling Jobs'!I61="","",'New Tooling Jobs'!I61)</f>
        <v/>
      </c>
    </row>
    <row r="60" customFormat="false" ht="15" hidden="false" customHeight="false" outlineLevel="0" collapsed="false">
      <c r="A60" s="14" t="str">
        <f aca="false">IF('New Tooling Jobs'!A62="","",'New Tooling Jobs'!A62)</f>
        <v/>
      </c>
      <c r="B60" s="14" t="str">
        <f aca="false">IF('New Tooling Jobs'!A62="","","New Tooling")</f>
        <v/>
      </c>
      <c r="C60" s="15" t="str">
        <f aca="false">IF('New Tooling Jobs'!B62="","",'New Tooling Jobs'!B62)</f>
        <v/>
      </c>
      <c r="D60" s="15" t="str">
        <f aca="false">IF('New Tooling Jobs'!E62="","",'New Tooling Jobs'!E62)</f>
        <v/>
      </c>
      <c r="E60" s="14" t="str">
        <f aca="false">IF('New Tooling Jobs'!G62="","",'New Tooling Jobs'!G62)</f>
        <v/>
      </c>
      <c r="F60" s="14" t="str">
        <f aca="false">IF('New Tooling Jobs'!H62="","",'New Tooling Jobs'!H62)</f>
        <v/>
      </c>
      <c r="G60" s="15" t="str">
        <f aca="false">IF('New Tooling Jobs'!I62="","",'New Tooling Jobs'!I62)</f>
        <v/>
      </c>
    </row>
    <row r="61" customFormat="false" ht="21.75" hidden="false" customHeight="true" outlineLevel="0" collapsed="false">
      <c r="A61" s="16" t="s">
        <v>4</v>
      </c>
      <c r="B61" s="16"/>
      <c r="C61" s="16"/>
      <c r="D61" s="16"/>
      <c r="E61" s="16"/>
      <c r="F61" s="16"/>
      <c r="G61" s="16"/>
    </row>
    <row r="62" customFormat="false" ht="15" hidden="false" customHeight="false" outlineLevel="0" collapsed="false">
      <c r="A62" s="14" t="str">
        <f aca="false">IF(Reorders!A13="","",Reorders!A13)</f>
        <v>JOB-2026-104</v>
      </c>
      <c r="B62" s="14" t="str">
        <f aca="false">IF(Reorders!A13="","","Reorder")</f>
        <v>Reorder</v>
      </c>
      <c r="C62" s="15" t="str">
        <f aca="false">IF(Reorders!B13="","",Reorders!B13)</f>
        <v>Cedar Outdoor Co.</v>
      </c>
      <c r="D62" s="15" t="str">
        <f aca="false">IF(Reorders!E13="","",Reorders!E13)</f>
        <v>3. Production &amp; Shipping</v>
      </c>
      <c r="E62" s="14" t="str">
        <f aca="false">IF(Reorders!G13="","",Reorders!G13)</f>
        <v>PO-CD-1207</v>
      </c>
      <c r="F62" s="14" t="str">
        <f aca="false">IF(Reorders!H13="","",Reorders!H13)</f>
        <v>PO-PAC-0451</v>
      </c>
      <c r="G62" s="15" t="str">
        <f aca="false">IF(Reorders!I13="","",Reorders!I13)</f>
        <v>Production scheduled wk of 5/4</v>
      </c>
    </row>
    <row r="63" customFormat="false" ht="15" hidden="false" customHeight="false" outlineLevel="0" collapsed="false">
      <c r="A63" s="14" t="str">
        <f aca="false">IF(Reorders!A14="","",Reorders!A14)</f>
        <v>JOB-2026-106</v>
      </c>
      <c r="B63" s="14" t="str">
        <f aca="false">IF(Reorders!A14="","","Reorder")</f>
        <v>Reorder</v>
      </c>
      <c r="C63" s="15" t="str">
        <f aca="false">IF(Reorders!B14="","",Reorders!B14)</f>
        <v>Beacon Electronics</v>
      </c>
      <c r="D63" s="15" t="str">
        <f aca="false">IF(Reorders!E14="","",Reorders!E14)</f>
        <v>1. Customer PO Received</v>
      </c>
      <c r="E63" s="14" t="str">
        <f aca="false">IF(Reorders!G14="","",Reorders!G14)</f>
        <v>PO-BE-3415</v>
      </c>
      <c r="F63" s="14" t="str">
        <f aca="false">IF(Reorders!H14="","",Reorders!H14)</f>
        <v/>
      </c>
      <c r="G63" s="15" t="str">
        <f aca="false">IF(Reorders!I14="","",Reorders!I14)</f>
        <v>Cut molder PO this week</v>
      </c>
    </row>
    <row r="64" customFormat="false" ht="15" hidden="false" customHeight="false" outlineLevel="0" collapsed="false">
      <c r="A64" s="14" t="str">
        <f aca="false">IF(Reorders!A15="","",Reorders!A15)</f>
        <v>JOB-2026-100</v>
      </c>
      <c r="B64" s="14" t="str">
        <f aca="false">IF(Reorders!A15="","","Reorder")</f>
        <v>Reorder</v>
      </c>
      <c r="C64" s="15" t="str">
        <f aca="false">IF(Reorders!B15="","",Reorders!B15)</f>
        <v>Drift Medical</v>
      </c>
      <c r="D64" s="15" t="str">
        <f aca="false">IF(Reorders!E15="","",Reorders!E15)</f>
        <v>Completed</v>
      </c>
      <c r="E64" s="14" t="str">
        <f aca="false">IF(Reorders!G15="","",Reorders!G15)</f>
        <v>PO-DM-2200</v>
      </c>
      <c r="F64" s="14" t="str">
        <f aca="false">IF(Reorders!H15="","",Reorders!H15)</f>
        <v>PO-PP-1130</v>
      </c>
      <c r="G64" s="15" t="str">
        <f aca="false">IF(Reorders!I15="","",Reorders!I15)</f>
        <v>Shipped &amp; delivered</v>
      </c>
    </row>
    <row r="65" customFormat="false" ht="15" hidden="false" customHeight="false" outlineLevel="0" collapsed="false">
      <c r="A65" s="14" t="str">
        <f aca="false">IF(Reorders!A16="","",Reorders!A16)</f>
        <v/>
      </c>
      <c r="B65" s="14" t="str">
        <f aca="false">IF(Reorders!A16="","","Reorder")</f>
        <v/>
      </c>
      <c r="C65" s="15" t="str">
        <f aca="false">IF(Reorders!B16="","",Reorders!B16)</f>
        <v/>
      </c>
      <c r="D65" s="15" t="str">
        <f aca="false">IF(Reorders!E16="","",Reorders!E16)</f>
        <v/>
      </c>
      <c r="E65" s="14" t="str">
        <f aca="false">IF(Reorders!G16="","",Reorders!G16)</f>
        <v/>
      </c>
      <c r="F65" s="14" t="str">
        <f aca="false">IF(Reorders!H16="","",Reorders!H16)</f>
        <v/>
      </c>
      <c r="G65" s="15" t="str">
        <f aca="false">IF(Reorders!I16="","",Reorders!I16)</f>
        <v/>
      </c>
    </row>
    <row r="66" customFormat="false" ht="15" hidden="false" customHeight="false" outlineLevel="0" collapsed="false">
      <c r="A66" s="14" t="str">
        <f aca="false">IF(Reorders!A17="","",Reorders!A17)</f>
        <v/>
      </c>
      <c r="B66" s="14" t="str">
        <f aca="false">IF(Reorders!A17="","","Reorder")</f>
        <v/>
      </c>
      <c r="C66" s="15" t="str">
        <f aca="false">IF(Reorders!B17="","",Reorders!B17)</f>
        <v/>
      </c>
      <c r="D66" s="15" t="str">
        <f aca="false">IF(Reorders!E17="","",Reorders!E17)</f>
        <v/>
      </c>
      <c r="E66" s="14" t="str">
        <f aca="false">IF(Reorders!G17="","",Reorders!G17)</f>
        <v/>
      </c>
      <c r="F66" s="14" t="str">
        <f aca="false">IF(Reorders!H17="","",Reorders!H17)</f>
        <v/>
      </c>
      <c r="G66" s="15" t="str">
        <f aca="false">IF(Reorders!I17="","",Reorders!I17)</f>
        <v/>
      </c>
    </row>
    <row r="67" customFormat="false" ht="15" hidden="false" customHeight="false" outlineLevel="0" collapsed="false">
      <c r="A67" s="14" t="str">
        <f aca="false">IF(Reorders!A18="","",Reorders!A18)</f>
        <v/>
      </c>
      <c r="B67" s="14" t="str">
        <f aca="false">IF(Reorders!A18="","","Reorder")</f>
        <v/>
      </c>
      <c r="C67" s="15" t="str">
        <f aca="false">IF(Reorders!B18="","",Reorders!B18)</f>
        <v/>
      </c>
      <c r="D67" s="15" t="str">
        <f aca="false">IF(Reorders!E18="","",Reorders!E18)</f>
        <v/>
      </c>
      <c r="E67" s="14" t="str">
        <f aca="false">IF(Reorders!G18="","",Reorders!G18)</f>
        <v/>
      </c>
      <c r="F67" s="14" t="str">
        <f aca="false">IF(Reorders!H18="","",Reorders!H18)</f>
        <v/>
      </c>
      <c r="G67" s="15" t="str">
        <f aca="false">IF(Reorders!I18="","",Reorders!I18)</f>
        <v/>
      </c>
    </row>
    <row r="68" customFormat="false" ht="15" hidden="false" customHeight="false" outlineLevel="0" collapsed="false">
      <c r="A68" s="14" t="str">
        <f aca="false">IF(Reorders!A19="","",Reorders!A19)</f>
        <v/>
      </c>
      <c r="B68" s="14" t="str">
        <f aca="false">IF(Reorders!A19="","","Reorder")</f>
        <v/>
      </c>
      <c r="C68" s="15" t="str">
        <f aca="false">IF(Reorders!B19="","",Reorders!B19)</f>
        <v/>
      </c>
      <c r="D68" s="15" t="str">
        <f aca="false">IF(Reorders!E19="","",Reorders!E19)</f>
        <v/>
      </c>
      <c r="E68" s="14" t="str">
        <f aca="false">IF(Reorders!G19="","",Reorders!G19)</f>
        <v/>
      </c>
      <c r="F68" s="14" t="str">
        <f aca="false">IF(Reorders!H19="","",Reorders!H19)</f>
        <v/>
      </c>
      <c r="G68" s="15" t="str">
        <f aca="false">IF(Reorders!I19="","",Reorders!I19)</f>
        <v/>
      </c>
    </row>
    <row r="69" customFormat="false" ht="15" hidden="false" customHeight="false" outlineLevel="0" collapsed="false">
      <c r="A69" s="14" t="str">
        <f aca="false">IF(Reorders!A20="","",Reorders!A20)</f>
        <v/>
      </c>
      <c r="B69" s="14" t="str">
        <f aca="false">IF(Reorders!A20="","","Reorder")</f>
        <v/>
      </c>
      <c r="C69" s="15" t="str">
        <f aca="false">IF(Reorders!B20="","",Reorders!B20)</f>
        <v/>
      </c>
      <c r="D69" s="15" t="str">
        <f aca="false">IF(Reorders!E20="","",Reorders!E20)</f>
        <v/>
      </c>
      <c r="E69" s="14" t="str">
        <f aca="false">IF(Reorders!G20="","",Reorders!G20)</f>
        <v/>
      </c>
      <c r="F69" s="14" t="str">
        <f aca="false">IF(Reorders!H20="","",Reorders!H20)</f>
        <v/>
      </c>
      <c r="G69" s="15" t="str">
        <f aca="false">IF(Reorders!I20="","",Reorders!I20)</f>
        <v/>
      </c>
    </row>
    <row r="70" customFormat="false" ht="15" hidden="false" customHeight="false" outlineLevel="0" collapsed="false">
      <c r="A70" s="14" t="str">
        <f aca="false">IF(Reorders!A21="","",Reorders!A21)</f>
        <v/>
      </c>
      <c r="B70" s="14" t="str">
        <f aca="false">IF(Reorders!A21="","","Reorder")</f>
        <v/>
      </c>
      <c r="C70" s="15" t="str">
        <f aca="false">IF(Reorders!B21="","",Reorders!B21)</f>
        <v/>
      </c>
      <c r="D70" s="15" t="str">
        <f aca="false">IF(Reorders!E21="","",Reorders!E21)</f>
        <v/>
      </c>
      <c r="E70" s="14" t="str">
        <f aca="false">IF(Reorders!G21="","",Reorders!G21)</f>
        <v/>
      </c>
      <c r="F70" s="14" t="str">
        <f aca="false">IF(Reorders!H21="","",Reorders!H21)</f>
        <v/>
      </c>
      <c r="G70" s="15" t="str">
        <f aca="false">IF(Reorders!I21="","",Reorders!I21)</f>
        <v/>
      </c>
    </row>
    <row r="71" customFormat="false" ht="15" hidden="false" customHeight="false" outlineLevel="0" collapsed="false">
      <c r="A71" s="14" t="str">
        <f aca="false">IF(Reorders!A22="","",Reorders!A22)</f>
        <v/>
      </c>
      <c r="B71" s="14" t="str">
        <f aca="false">IF(Reorders!A22="","","Reorder")</f>
        <v/>
      </c>
      <c r="C71" s="15" t="str">
        <f aca="false">IF(Reorders!B22="","",Reorders!B22)</f>
        <v/>
      </c>
      <c r="D71" s="15" t="str">
        <f aca="false">IF(Reorders!E22="","",Reorders!E22)</f>
        <v/>
      </c>
      <c r="E71" s="14" t="str">
        <f aca="false">IF(Reorders!G22="","",Reorders!G22)</f>
        <v/>
      </c>
      <c r="F71" s="14" t="str">
        <f aca="false">IF(Reorders!H22="","",Reorders!H22)</f>
        <v/>
      </c>
      <c r="G71" s="15" t="str">
        <f aca="false">IF(Reorders!I22="","",Reorders!I22)</f>
        <v/>
      </c>
    </row>
    <row r="72" customFormat="false" ht="15" hidden="false" customHeight="false" outlineLevel="0" collapsed="false">
      <c r="A72" s="14" t="str">
        <f aca="false">IF(Reorders!A23="","",Reorders!A23)</f>
        <v/>
      </c>
      <c r="B72" s="14" t="str">
        <f aca="false">IF(Reorders!A23="","","Reorder")</f>
        <v/>
      </c>
      <c r="C72" s="15" t="str">
        <f aca="false">IF(Reorders!B23="","",Reorders!B23)</f>
        <v/>
      </c>
      <c r="D72" s="15" t="str">
        <f aca="false">IF(Reorders!E23="","",Reorders!E23)</f>
        <v/>
      </c>
      <c r="E72" s="14" t="str">
        <f aca="false">IF(Reorders!G23="","",Reorders!G23)</f>
        <v/>
      </c>
      <c r="F72" s="14" t="str">
        <f aca="false">IF(Reorders!H23="","",Reorders!H23)</f>
        <v/>
      </c>
      <c r="G72" s="15" t="str">
        <f aca="false">IF(Reorders!I23="","",Reorders!I23)</f>
        <v/>
      </c>
    </row>
    <row r="73" customFormat="false" ht="15" hidden="false" customHeight="false" outlineLevel="0" collapsed="false">
      <c r="A73" s="14" t="str">
        <f aca="false">IF(Reorders!A24="","",Reorders!A24)</f>
        <v/>
      </c>
      <c r="B73" s="14" t="str">
        <f aca="false">IF(Reorders!A24="","","Reorder")</f>
        <v/>
      </c>
      <c r="C73" s="15" t="str">
        <f aca="false">IF(Reorders!B24="","",Reorders!B24)</f>
        <v/>
      </c>
      <c r="D73" s="15" t="str">
        <f aca="false">IF(Reorders!E24="","",Reorders!E24)</f>
        <v/>
      </c>
      <c r="E73" s="14" t="str">
        <f aca="false">IF(Reorders!G24="","",Reorders!G24)</f>
        <v/>
      </c>
      <c r="F73" s="14" t="str">
        <f aca="false">IF(Reorders!H24="","",Reorders!H24)</f>
        <v/>
      </c>
      <c r="G73" s="15" t="str">
        <f aca="false">IF(Reorders!I24="","",Reorders!I24)</f>
        <v/>
      </c>
    </row>
    <row r="74" customFormat="false" ht="15" hidden="false" customHeight="false" outlineLevel="0" collapsed="false">
      <c r="A74" s="14" t="str">
        <f aca="false">IF(Reorders!A25="","",Reorders!A25)</f>
        <v/>
      </c>
      <c r="B74" s="14" t="str">
        <f aca="false">IF(Reorders!A25="","","Reorder")</f>
        <v/>
      </c>
      <c r="C74" s="15" t="str">
        <f aca="false">IF(Reorders!B25="","",Reorders!B25)</f>
        <v/>
      </c>
      <c r="D74" s="15" t="str">
        <f aca="false">IF(Reorders!E25="","",Reorders!E25)</f>
        <v/>
      </c>
      <c r="E74" s="14" t="str">
        <f aca="false">IF(Reorders!G25="","",Reorders!G25)</f>
        <v/>
      </c>
      <c r="F74" s="14" t="str">
        <f aca="false">IF(Reorders!H25="","",Reorders!H25)</f>
        <v/>
      </c>
      <c r="G74" s="15" t="str">
        <f aca="false">IF(Reorders!I25="","",Reorders!I25)</f>
        <v/>
      </c>
    </row>
    <row r="75" customFormat="false" ht="15" hidden="false" customHeight="false" outlineLevel="0" collapsed="false">
      <c r="A75" s="14" t="str">
        <f aca="false">IF(Reorders!A26="","",Reorders!A26)</f>
        <v/>
      </c>
      <c r="B75" s="14" t="str">
        <f aca="false">IF(Reorders!A26="","","Reorder")</f>
        <v/>
      </c>
      <c r="C75" s="15" t="str">
        <f aca="false">IF(Reorders!B26="","",Reorders!B26)</f>
        <v/>
      </c>
      <c r="D75" s="15" t="str">
        <f aca="false">IF(Reorders!E26="","",Reorders!E26)</f>
        <v/>
      </c>
      <c r="E75" s="14" t="str">
        <f aca="false">IF(Reorders!G26="","",Reorders!G26)</f>
        <v/>
      </c>
      <c r="F75" s="14" t="str">
        <f aca="false">IF(Reorders!H26="","",Reorders!H26)</f>
        <v/>
      </c>
      <c r="G75" s="15" t="str">
        <f aca="false">IF(Reorders!I26="","",Reorders!I26)</f>
        <v/>
      </c>
    </row>
    <row r="76" customFormat="false" ht="15" hidden="false" customHeight="false" outlineLevel="0" collapsed="false">
      <c r="A76" s="14" t="str">
        <f aca="false">IF(Reorders!A27="","",Reorders!A27)</f>
        <v/>
      </c>
      <c r="B76" s="14" t="str">
        <f aca="false">IF(Reorders!A27="","","Reorder")</f>
        <v/>
      </c>
      <c r="C76" s="15" t="str">
        <f aca="false">IF(Reorders!B27="","",Reorders!B27)</f>
        <v/>
      </c>
      <c r="D76" s="15" t="str">
        <f aca="false">IF(Reorders!E27="","",Reorders!E27)</f>
        <v/>
      </c>
      <c r="E76" s="14" t="str">
        <f aca="false">IF(Reorders!G27="","",Reorders!G27)</f>
        <v/>
      </c>
      <c r="F76" s="14" t="str">
        <f aca="false">IF(Reorders!H27="","",Reorders!H27)</f>
        <v/>
      </c>
      <c r="G76" s="15" t="str">
        <f aca="false">IF(Reorders!I27="","",Reorders!I27)</f>
        <v/>
      </c>
    </row>
    <row r="77" customFormat="false" ht="15" hidden="false" customHeight="false" outlineLevel="0" collapsed="false">
      <c r="A77" s="14" t="str">
        <f aca="false">IF(Reorders!A28="","",Reorders!A28)</f>
        <v/>
      </c>
      <c r="B77" s="14" t="str">
        <f aca="false">IF(Reorders!A28="","","Reorder")</f>
        <v/>
      </c>
      <c r="C77" s="15" t="str">
        <f aca="false">IF(Reorders!B28="","",Reorders!B28)</f>
        <v/>
      </c>
      <c r="D77" s="15" t="str">
        <f aca="false">IF(Reorders!E28="","",Reorders!E28)</f>
        <v/>
      </c>
      <c r="E77" s="14" t="str">
        <f aca="false">IF(Reorders!G28="","",Reorders!G28)</f>
        <v/>
      </c>
      <c r="F77" s="14" t="str">
        <f aca="false">IF(Reorders!H28="","",Reorders!H28)</f>
        <v/>
      </c>
      <c r="G77" s="15" t="str">
        <f aca="false">IF(Reorders!I28="","",Reorders!I28)</f>
        <v/>
      </c>
    </row>
    <row r="78" customFormat="false" ht="15" hidden="false" customHeight="false" outlineLevel="0" collapsed="false">
      <c r="A78" s="14" t="str">
        <f aca="false">IF(Reorders!A29="","",Reorders!A29)</f>
        <v/>
      </c>
      <c r="B78" s="14" t="str">
        <f aca="false">IF(Reorders!A29="","","Reorder")</f>
        <v/>
      </c>
      <c r="C78" s="15" t="str">
        <f aca="false">IF(Reorders!B29="","",Reorders!B29)</f>
        <v/>
      </c>
      <c r="D78" s="15" t="str">
        <f aca="false">IF(Reorders!E29="","",Reorders!E29)</f>
        <v/>
      </c>
      <c r="E78" s="14" t="str">
        <f aca="false">IF(Reorders!G29="","",Reorders!G29)</f>
        <v/>
      </c>
      <c r="F78" s="14" t="str">
        <f aca="false">IF(Reorders!H29="","",Reorders!H29)</f>
        <v/>
      </c>
      <c r="G78" s="15" t="str">
        <f aca="false">IF(Reorders!I29="","",Reorders!I29)</f>
        <v/>
      </c>
    </row>
    <row r="79" customFormat="false" ht="15" hidden="false" customHeight="false" outlineLevel="0" collapsed="false">
      <c r="A79" s="14" t="str">
        <f aca="false">IF(Reorders!A30="","",Reorders!A30)</f>
        <v/>
      </c>
      <c r="B79" s="14" t="str">
        <f aca="false">IF(Reorders!A30="","","Reorder")</f>
        <v/>
      </c>
      <c r="C79" s="15" t="str">
        <f aca="false">IF(Reorders!B30="","",Reorders!B30)</f>
        <v/>
      </c>
      <c r="D79" s="15" t="str">
        <f aca="false">IF(Reorders!E30="","",Reorders!E30)</f>
        <v/>
      </c>
      <c r="E79" s="14" t="str">
        <f aca="false">IF(Reorders!G30="","",Reorders!G30)</f>
        <v/>
      </c>
      <c r="F79" s="14" t="str">
        <f aca="false">IF(Reorders!H30="","",Reorders!H30)</f>
        <v/>
      </c>
      <c r="G79" s="15" t="str">
        <f aca="false">IF(Reorders!I30="","",Reorders!I30)</f>
        <v/>
      </c>
    </row>
    <row r="80" customFormat="false" ht="15" hidden="false" customHeight="false" outlineLevel="0" collapsed="false">
      <c r="A80" s="14" t="str">
        <f aca="false">IF(Reorders!A31="","",Reorders!A31)</f>
        <v/>
      </c>
      <c r="B80" s="14" t="str">
        <f aca="false">IF(Reorders!A31="","","Reorder")</f>
        <v/>
      </c>
      <c r="C80" s="15" t="str">
        <f aca="false">IF(Reorders!B31="","",Reorders!B31)</f>
        <v/>
      </c>
      <c r="D80" s="15" t="str">
        <f aca="false">IF(Reorders!E31="","",Reorders!E31)</f>
        <v/>
      </c>
      <c r="E80" s="14" t="str">
        <f aca="false">IF(Reorders!G31="","",Reorders!G31)</f>
        <v/>
      </c>
      <c r="F80" s="14" t="str">
        <f aca="false">IF(Reorders!H31="","",Reorders!H31)</f>
        <v/>
      </c>
      <c r="G80" s="15" t="str">
        <f aca="false">IF(Reorders!I31="","",Reorders!I31)</f>
        <v/>
      </c>
    </row>
    <row r="81" customFormat="false" ht="15" hidden="false" customHeight="false" outlineLevel="0" collapsed="false">
      <c r="A81" s="14" t="str">
        <f aca="false">IF(Reorders!A32="","",Reorders!A32)</f>
        <v/>
      </c>
      <c r="B81" s="14" t="str">
        <f aca="false">IF(Reorders!A32="","","Reorder")</f>
        <v/>
      </c>
      <c r="C81" s="15" t="str">
        <f aca="false">IF(Reorders!B32="","",Reorders!B32)</f>
        <v/>
      </c>
      <c r="D81" s="15" t="str">
        <f aca="false">IF(Reorders!E32="","",Reorders!E32)</f>
        <v/>
      </c>
      <c r="E81" s="14" t="str">
        <f aca="false">IF(Reorders!G32="","",Reorders!G32)</f>
        <v/>
      </c>
      <c r="F81" s="14" t="str">
        <f aca="false">IF(Reorders!H32="","",Reorders!H32)</f>
        <v/>
      </c>
      <c r="G81" s="15" t="str">
        <f aca="false">IF(Reorders!I32="","",Reorders!I32)</f>
        <v/>
      </c>
    </row>
    <row r="82" customFormat="false" ht="15" hidden="false" customHeight="false" outlineLevel="0" collapsed="false">
      <c r="A82" s="14" t="str">
        <f aca="false">IF(Reorders!A33="","",Reorders!A33)</f>
        <v/>
      </c>
      <c r="B82" s="14" t="str">
        <f aca="false">IF(Reorders!A33="","","Reorder")</f>
        <v/>
      </c>
      <c r="C82" s="15" t="str">
        <f aca="false">IF(Reorders!B33="","",Reorders!B33)</f>
        <v/>
      </c>
      <c r="D82" s="15" t="str">
        <f aca="false">IF(Reorders!E33="","",Reorders!E33)</f>
        <v/>
      </c>
      <c r="E82" s="14" t="str">
        <f aca="false">IF(Reorders!G33="","",Reorders!G33)</f>
        <v/>
      </c>
      <c r="F82" s="14" t="str">
        <f aca="false">IF(Reorders!H33="","",Reorders!H33)</f>
        <v/>
      </c>
      <c r="G82" s="15" t="str">
        <f aca="false">IF(Reorders!I33="","",Reorders!I33)</f>
        <v/>
      </c>
    </row>
    <row r="83" customFormat="false" ht="15" hidden="false" customHeight="false" outlineLevel="0" collapsed="false">
      <c r="A83" s="14" t="str">
        <f aca="false">IF(Reorders!A34="","",Reorders!A34)</f>
        <v/>
      </c>
      <c r="B83" s="14" t="str">
        <f aca="false">IF(Reorders!A34="","","Reorder")</f>
        <v/>
      </c>
      <c r="C83" s="15" t="str">
        <f aca="false">IF(Reorders!B34="","",Reorders!B34)</f>
        <v/>
      </c>
      <c r="D83" s="15" t="str">
        <f aca="false">IF(Reorders!E34="","",Reorders!E34)</f>
        <v/>
      </c>
      <c r="E83" s="14" t="str">
        <f aca="false">IF(Reorders!G34="","",Reorders!G34)</f>
        <v/>
      </c>
      <c r="F83" s="14" t="str">
        <f aca="false">IF(Reorders!H34="","",Reorders!H34)</f>
        <v/>
      </c>
      <c r="G83" s="15" t="str">
        <f aca="false">IF(Reorders!I34="","",Reorders!I34)</f>
        <v/>
      </c>
    </row>
    <row r="84" customFormat="false" ht="15" hidden="false" customHeight="false" outlineLevel="0" collapsed="false">
      <c r="A84" s="14" t="str">
        <f aca="false">IF(Reorders!A35="","",Reorders!A35)</f>
        <v/>
      </c>
      <c r="B84" s="14" t="str">
        <f aca="false">IF(Reorders!A35="","","Reorder")</f>
        <v/>
      </c>
      <c r="C84" s="15" t="str">
        <f aca="false">IF(Reorders!B35="","",Reorders!B35)</f>
        <v/>
      </c>
      <c r="D84" s="15" t="str">
        <f aca="false">IF(Reorders!E35="","",Reorders!E35)</f>
        <v/>
      </c>
      <c r="E84" s="14" t="str">
        <f aca="false">IF(Reorders!G35="","",Reorders!G35)</f>
        <v/>
      </c>
      <c r="F84" s="14" t="str">
        <f aca="false">IF(Reorders!H35="","",Reorders!H35)</f>
        <v/>
      </c>
      <c r="G84" s="15" t="str">
        <f aca="false">IF(Reorders!I35="","",Reorders!I35)</f>
        <v/>
      </c>
    </row>
    <row r="85" customFormat="false" ht="15" hidden="false" customHeight="false" outlineLevel="0" collapsed="false">
      <c r="A85" s="14" t="str">
        <f aca="false">IF(Reorders!A36="","",Reorders!A36)</f>
        <v/>
      </c>
      <c r="B85" s="14" t="str">
        <f aca="false">IF(Reorders!A36="","","Reorder")</f>
        <v/>
      </c>
      <c r="C85" s="15" t="str">
        <f aca="false">IF(Reorders!B36="","",Reorders!B36)</f>
        <v/>
      </c>
      <c r="D85" s="15" t="str">
        <f aca="false">IF(Reorders!E36="","",Reorders!E36)</f>
        <v/>
      </c>
      <c r="E85" s="14" t="str">
        <f aca="false">IF(Reorders!G36="","",Reorders!G36)</f>
        <v/>
      </c>
      <c r="F85" s="14" t="str">
        <f aca="false">IF(Reorders!H36="","",Reorders!H36)</f>
        <v/>
      </c>
      <c r="G85" s="15" t="str">
        <f aca="false">IF(Reorders!I36="","",Reorders!I36)</f>
        <v/>
      </c>
    </row>
    <row r="86" customFormat="false" ht="15" hidden="false" customHeight="false" outlineLevel="0" collapsed="false">
      <c r="A86" s="14" t="str">
        <f aca="false">IF(Reorders!A37="","",Reorders!A37)</f>
        <v/>
      </c>
      <c r="B86" s="14" t="str">
        <f aca="false">IF(Reorders!A37="","","Reorder")</f>
        <v/>
      </c>
      <c r="C86" s="15" t="str">
        <f aca="false">IF(Reorders!B37="","",Reorders!B37)</f>
        <v/>
      </c>
      <c r="D86" s="15" t="str">
        <f aca="false">IF(Reorders!E37="","",Reorders!E37)</f>
        <v/>
      </c>
      <c r="E86" s="14" t="str">
        <f aca="false">IF(Reorders!G37="","",Reorders!G37)</f>
        <v/>
      </c>
      <c r="F86" s="14" t="str">
        <f aca="false">IF(Reorders!H37="","",Reorders!H37)</f>
        <v/>
      </c>
      <c r="G86" s="15" t="str">
        <f aca="false">IF(Reorders!I37="","",Reorders!I37)</f>
        <v/>
      </c>
    </row>
    <row r="87" customFormat="false" ht="15" hidden="false" customHeight="false" outlineLevel="0" collapsed="false">
      <c r="A87" s="14" t="str">
        <f aca="false">IF(Reorders!A38="","",Reorders!A38)</f>
        <v/>
      </c>
      <c r="B87" s="14" t="str">
        <f aca="false">IF(Reorders!A38="","","Reorder")</f>
        <v/>
      </c>
      <c r="C87" s="15" t="str">
        <f aca="false">IF(Reorders!B38="","",Reorders!B38)</f>
        <v/>
      </c>
      <c r="D87" s="15" t="str">
        <f aca="false">IF(Reorders!E38="","",Reorders!E38)</f>
        <v/>
      </c>
      <c r="E87" s="14" t="str">
        <f aca="false">IF(Reorders!G38="","",Reorders!G38)</f>
        <v/>
      </c>
      <c r="F87" s="14" t="str">
        <f aca="false">IF(Reorders!H38="","",Reorders!H38)</f>
        <v/>
      </c>
      <c r="G87" s="15" t="str">
        <f aca="false">IF(Reorders!I38="","",Reorders!I38)</f>
        <v/>
      </c>
    </row>
    <row r="88" customFormat="false" ht="15" hidden="false" customHeight="false" outlineLevel="0" collapsed="false">
      <c r="A88" s="14" t="str">
        <f aca="false">IF(Reorders!A39="","",Reorders!A39)</f>
        <v/>
      </c>
      <c r="B88" s="14" t="str">
        <f aca="false">IF(Reorders!A39="","","Reorder")</f>
        <v/>
      </c>
      <c r="C88" s="15" t="str">
        <f aca="false">IF(Reorders!B39="","",Reorders!B39)</f>
        <v/>
      </c>
      <c r="D88" s="15" t="str">
        <f aca="false">IF(Reorders!E39="","",Reorders!E39)</f>
        <v/>
      </c>
      <c r="E88" s="14" t="str">
        <f aca="false">IF(Reorders!G39="","",Reorders!G39)</f>
        <v/>
      </c>
      <c r="F88" s="14" t="str">
        <f aca="false">IF(Reorders!H39="","",Reorders!H39)</f>
        <v/>
      </c>
      <c r="G88" s="15" t="str">
        <f aca="false">IF(Reorders!I39="","",Reorders!I39)</f>
        <v/>
      </c>
    </row>
    <row r="89" customFormat="false" ht="15" hidden="false" customHeight="false" outlineLevel="0" collapsed="false">
      <c r="A89" s="14" t="str">
        <f aca="false">IF(Reorders!A40="","",Reorders!A40)</f>
        <v/>
      </c>
      <c r="B89" s="14" t="str">
        <f aca="false">IF(Reorders!A40="","","Reorder")</f>
        <v/>
      </c>
      <c r="C89" s="15" t="str">
        <f aca="false">IF(Reorders!B40="","",Reorders!B40)</f>
        <v/>
      </c>
      <c r="D89" s="15" t="str">
        <f aca="false">IF(Reorders!E40="","",Reorders!E40)</f>
        <v/>
      </c>
      <c r="E89" s="14" t="str">
        <f aca="false">IF(Reorders!G40="","",Reorders!G40)</f>
        <v/>
      </c>
      <c r="F89" s="14" t="str">
        <f aca="false">IF(Reorders!H40="","",Reorders!H40)</f>
        <v/>
      </c>
      <c r="G89" s="15" t="str">
        <f aca="false">IF(Reorders!I40="","",Reorders!I40)</f>
        <v/>
      </c>
    </row>
    <row r="90" customFormat="false" ht="15" hidden="false" customHeight="false" outlineLevel="0" collapsed="false">
      <c r="A90" s="14" t="str">
        <f aca="false">IF(Reorders!A41="","",Reorders!A41)</f>
        <v/>
      </c>
      <c r="B90" s="14" t="str">
        <f aca="false">IF(Reorders!A41="","","Reorder")</f>
        <v/>
      </c>
      <c r="C90" s="15" t="str">
        <f aca="false">IF(Reorders!B41="","",Reorders!B41)</f>
        <v/>
      </c>
      <c r="D90" s="15" t="str">
        <f aca="false">IF(Reorders!E41="","",Reorders!E41)</f>
        <v/>
      </c>
      <c r="E90" s="14" t="str">
        <f aca="false">IF(Reorders!G41="","",Reorders!G41)</f>
        <v/>
      </c>
      <c r="F90" s="14" t="str">
        <f aca="false">IF(Reorders!H41="","",Reorders!H41)</f>
        <v/>
      </c>
      <c r="G90" s="15" t="str">
        <f aca="false">IF(Reorders!I41="","",Reorders!I41)</f>
        <v/>
      </c>
    </row>
    <row r="91" customFormat="false" ht="15" hidden="false" customHeight="false" outlineLevel="0" collapsed="false">
      <c r="A91" s="14" t="str">
        <f aca="false">IF(Reorders!A42="","",Reorders!A42)</f>
        <v/>
      </c>
      <c r="B91" s="14" t="str">
        <f aca="false">IF(Reorders!A42="","","Reorder")</f>
        <v/>
      </c>
      <c r="C91" s="15" t="str">
        <f aca="false">IF(Reorders!B42="","",Reorders!B42)</f>
        <v/>
      </c>
      <c r="D91" s="15" t="str">
        <f aca="false">IF(Reorders!E42="","",Reorders!E42)</f>
        <v/>
      </c>
      <c r="E91" s="14" t="str">
        <f aca="false">IF(Reorders!G42="","",Reorders!G42)</f>
        <v/>
      </c>
      <c r="F91" s="14" t="str">
        <f aca="false">IF(Reorders!H42="","",Reorders!H42)</f>
        <v/>
      </c>
      <c r="G91" s="15" t="str">
        <f aca="false">IF(Reorders!I42="","",Reorders!I42)</f>
        <v/>
      </c>
    </row>
    <row r="92" customFormat="false" ht="15" hidden="false" customHeight="false" outlineLevel="0" collapsed="false">
      <c r="A92" s="14" t="str">
        <f aca="false">IF(Reorders!A43="","",Reorders!A43)</f>
        <v/>
      </c>
      <c r="B92" s="14" t="str">
        <f aca="false">IF(Reorders!A43="","","Reorder")</f>
        <v/>
      </c>
      <c r="C92" s="15" t="str">
        <f aca="false">IF(Reorders!B43="","",Reorders!B43)</f>
        <v/>
      </c>
      <c r="D92" s="15" t="str">
        <f aca="false">IF(Reorders!E43="","",Reorders!E43)</f>
        <v/>
      </c>
      <c r="E92" s="14" t="str">
        <f aca="false">IF(Reorders!G43="","",Reorders!G43)</f>
        <v/>
      </c>
      <c r="F92" s="14" t="str">
        <f aca="false">IF(Reorders!H43="","",Reorders!H43)</f>
        <v/>
      </c>
      <c r="G92" s="15" t="str">
        <f aca="false">IF(Reorders!I43="","",Reorders!I43)</f>
        <v/>
      </c>
    </row>
    <row r="93" customFormat="false" ht="15" hidden="false" customHeight="false" outlineLevel="0" collapsed="false">
      <c r="A93" s="14" t="str">
        <f aca="false">IF(Reorders!A44="","",Reorders!A44)</f>
        <v/>
      </c>
      <c r="B93" s="14" t="str">
        <f aca="false">IF(Reorders!A44="","","Reorder")</f>
        <v/>
      </c>
      <c r="C93" s="15" t="str">
        <f aca="false">IF(Reorders!B44="","",Reorders!B44)</f>
        <v/>
      </c>
      <c r="D93" s="15" t="str">
        <f aca="false">IF(Reorders!E44="","",Reorders!E44)</f>
        <v/>
      </c>
      <c r="E93" s="14" t="str">
        <f aca="false">IF(Reorders!G44="","",Reorders!G44)</f>
        <v/>
      </c>
      <c r="F93" s="14" t="str">
        <f aca="false">IF(Reorders!H44="","",Reorders!H44)</f>
        <v/>
      </c>
      <c r="G93" s="15" t="str">
        <f aca="false">IF(Reorders!I44="","",Reorders!I44)</f>
        <v/>
      </c>
    </row>
    <row r="94" customFormat="false" ht="15" hidden="false" customHeight="false" outlineLevel="0" collapsed="false">
      <c r="A94" s="14" t="str">
        <f aca="false">IF(Reorders!A45="","",Reorders!A45)</f>
        <v/>
      </c>
      <c r="B94" s="14" t="str">
        <f aca="false">IF(Reorders!A45="","","Reorder")</f>
        <v/>
      </c>
      <c r="C94" s="15" t="str">
        <f aca="false">IF(Reorders!B45="","",Reorders!B45)</f>
        <v/>
      </c>
      <c r="D94" s="15" t="str">
        <f aca="false">IF(Reorders!E45="","",Reorders!E45)</f>
        <v/>
      </c>
      <c r="E94" s="14" t="str">
        <f aca="false">IF(Reorders!G45="","",Reorders!G45)</f>
        <v/>
      </c>
      <c r="F94" s="14" t="str">
        <f aca="false">IF(Reorders!H45="","",Reorders!H45)</f>
        <v/>
      </c>
      <c r="G94" s="15" t="str">
        <f aca="false">IF(Reorders!I45="","",Reorders!I45)</f>
        <v/>
      </c>
    </row>
    <row r="95" customFormat="false" ht="15" hidden="false" customHeight="false" outlineLevel="0" collapsed="false">
      <c r="A95" s="14" t="str">
        <f aca="false">IF(Reorders!A46="","",Reorders!A46)</f>
        <v/>
      </c>
      <c r="B95" s="14" t="str">
        <f aca="false">IF(Reorders!A46="","","Reorder")</f>
        <v/>
      </c>
      <c r="C95" s="15" t="str">
        <f aca="false">IF(Reorders!B46="","",Reorders!B46)</f>
        <v/>
      </c>
      <c r="D95" s="15" t="str">
        <f aca="false">IF(Reorders!E46="","",Reorders!E46)</f>
        <v/>
      </c>
      <c r="E95" s="14" t="str">
        <f aca="false">IF(Reorders!G46="","",Reorders!G46)</f>
        <v/>
      </c>
      <c r="F95" s="14" t="str">
        <f aca="false">IF(Reorders!H46="","",Reorders!H46)</f>
        <v/>
      </c>
      <c r="G95" s="15" t="str">
        <f aca="false">IF(Reorders!I46="","",Reorders!I46)</f>
        <v/>
      </c>
    </row>
    <row r="96" customFormat="false" ht="15" hidden="false" customHeight="false" outlineLevel="0" collapsed="false">
      <c r="A96" s="14" t="str">
        <f aca="false">IF(Reorders!A47="","",Reorders!A47)</f>
        <v/>
      </c>
      <c r="B96" s="14" t="str">
        <f aca="false">IF(Reorders!A47="","","Reorder")</f>
        <v/>
      </c>
      <c r="C96" s="15" t="str">
        <f aca="false">IF(Reorders!B47="","",Reorders!B47)</f>
        <v/>
      </c>
      <c r="D96" s="15" t="str">
        <f aca="false">IF(Reorders!E47="","",Reorders!E47)</f>
        <v/>
      </c>
      <c r="E96" s="14" t="str">
        <f aca="false">IF(Reorders!G47="","",Reorders!G47)</f>
        <v/>
      </c>
      <c r="F96" s="14" t="str">
        <f aca="false">IF(Reorders!H47="","",Reorders!H47)</f>
        <v/>
      </c>
      <c r="G96" s="15" t="str">
        <f aca="false">IF(Reorders!I47="","",Reorders!I47)</f>
        <v/>
      </c>
    </row>
    <row r="97" customFormat="false" ht="15" hidden="false" customHeight="false" outlineLevel="0" collapsed="false">
      <c r="A97" s="14" t="str">
        <f aca="false">IF(Reorders!A48="","",Reorders!A48)</f>
        <v/>
      </c>
      <c r="B97" s="14" t="str">
        <f aca="false">IF(Reorders!A48="","","Reorder")</f>
        <v/>
      </c>
      <c r="C97" s="15" t="str">
        <f aca="false">IF(Reorders!B48="","",Reorders!B48)</f>
        <v/>
      </c>
      <c r="D97" s="15" t="str">
        <f aca="false">IF(Reorders!E48="","",Reorders!E48)</f>
        <v/>
      </c>
      <c r="E97" s="14" t="str">
        <f aca="false">IF(Reorders!G48="","",Reorders!G48)</f>
        <v/>
      </c>
      <c r="F97" s="14" t="str">
        <f aca="false">IF(Reorders!H48="","",Reorders!H48)</f>
        <v/>
      </c>
      <c r="G97" s="15" t="str">
        <f aca="false">IF(Reorders!I48="","",Reorders!I48)</f>
        <v/>
      </c>
    </row>
    <row r="98" customFormat="false" ht="15" hidden="false" customHeight="false" outlineLevel="0" collapsed="false">
      <c r="A98" s="14" t="str">
        <f aca="false">IF(Reorders!A49="","",Reorders!A49)</f>
        <v/>
      </c>
      <c r="B98" s="14" t="str">
        <f aca="false">IF(Reorders!A49="","","Reorder")</f>
        <v/>
      </c>
      <c r="C98" s="15" t="str">
        <f aca="false">IF(Reorders!B49="","",Reorders!B49)</f>
        <v/>
      </c>
      <c r="D98" s="15" t="str">
        <f aca="false">IF(Reorders!E49="","",Reorders!E49)</f>
        <v/>
      </c>
      <c r="E98" s="14" t="str">
        <f aca="false">IF(Reorders!G49="","",Reorders!G49)</f>
        <v/>
      </c>
      <c r="F98" s="14" t="str">
        <f aca="false">IF(Reorders!H49="","",Reorders!H49)</f>
        <v/>
      </c>
      <c r="G98" s="15" t="str">
        <f aca="false">IF(Reorders!I49="","",Reorders!I49)</f>
        <v/>
      </c>
    </row>
    <row r="99" customFormat="false" ht="15" hidden="false" customHeight="false" outlineLevel="0" collapsed="false">
      <c r="A99" s="14" t="str">
        <f aca="false">IF(Reorders!A50="","",Reorders!A50)</f>
        <v/>
      </c>
      <c r="B99" s="14" t="str">
        <f aca="false">IF(Reorders!A50="","","Reorder")</f>
        <v/>
      </c>
      <c r="C99" s="15" t="str">
        <f aca="false">IF(Reorders!B50="","",Reorders!B50)</f>
        <v/>
      </c>
      <c r="D99" s="15" t="str">
        <f aca="false">IF(Reorders!E50="","",Reorders!E50)</f>
        <v/>
      </c>
      <c r="E99" s="14" t="str">
        <f aca="false">IF(Reorders!G50="","",Reorders!G50)</f>
        <v/>
      </c>
      <c r="F99" s="14" t="str">
        <f aca="false">IF(Reorders!H50="","",Reorders!H50)</f>
        <v/>
      </c>
      <c r="G99" s="15" t="str">
        <f aca="false">IF(Reorders!I50="","",Reorders!I50)</f>
        <v/>
      </c>
    </row>
    <row r="100" customFormat="false" ht="15" hidden="false" customHeight="false" outlineLevel="0" collapsed="false">
      <c r="A100" s="14" t="str">
        <f aca="false">IF(Reorders!A51="","",Reorders!A51)</f>
        <v/>
      </c>
      <c r="B100" s="14" t="str">
        <f aca="false">IF(Reorders!A51="","","Reorder")</f>
        <v/>
      </c>
      <c r="C100" s="15" t="str">
        <f aca="false">IF(Reorders!B51="","",Reorders!B51)</f>
        <v/>
      </c>
      <c r="D100" s="15" t="str">
        <f aca="false">IF(Reorders!E51="","",Reorders!E51)</f>
        <v/>
      </c>
      <c r="E100" s="14" t="str">
        <f aca="false">IF(Reorders!G51="","",Reorders!G51)</f>
        <v/>
      </c>
      <c r="F100" s="14" t="str">
        <f aca="false">IF(Reorders!H51="","",Reorders!H51)</f>
        <v/>
      </c>
      <c r="G100" s="15" t="str">
        <f aca="false">IF(Reorders!I51="","",Reorders!I51)</f>
        <v/>
      </c>
    </row>
    <row r="101" customFormat="false" ht="15" hidden="false" customHeight="false" outlineLevel="0" collapsed="false">
      <c r="A101" s="14" t="str">
        <f aca="false">IF(Reorders!A52="","",Reorders!A52)</f>
        <v/>
      </c>
      <c r="B101" s="14" t="str">
        <f aca="false">IF(Reorders!A52="","","Reorder")</f>
        <v/>
      </c>
      <c r="C101" s="15" t="str">
        <f aca="false">IF(Reorders!B52="","",Reorders!B52)</f>
        <v/>
      </c>
      <c r="D101" s="15" t="str">
        <f aca="false">IF(Reorders!E52="","",Reorders!E52)</f>
        <v/>
      </c>
      <c r="E101" s="14" t="str">
        <f aca="false">IF(Reorders!G52="","",Reorders!G52)</f>
        <v/>
      </c>
      <c r="F101" s="14" t="str">
        <f aca="false">IF(Reorders!H52="","",Reorders!H52)</f>
        <v/>
      </c>
      <c r="G101" s="15" t="str">
        <f aca="false">IF(Reorders!I52="","",Reorders!I52)</f>
        <v/>
      </c>
    </row>
    <row r="102" customFormat="false" ht="15" hidden="false" customHeight="false" outlineLevel="0" collapsed="false">
      <c r="A102" s="14" t="str">
        <f aca="false">IF(Reorders!A53="","",Reorders!A53)</f>
        <v/>
      </c>
      <c r="B102" s="14" t="str">
        <f aca="false">IF(Reorders!A53="","","Reorder")</f>
        <v/>
      </c>
      <c r="C102" s="15" t="str">
        <f aca="false">IF(Reorders!B53="","",Reorders!B53)</f>
        <v/>
      </c>
      <c r="D102" s="15" t="str">
        <f aca="false">IF(Reorders!E53="","",Reorders!E53)</f>
        <v/>
      </c>
      <c r="E102" s="14" t="str">
        <f aca="false">IF(Reorders!G53="","",Reorders!G53)</f>
        <v/>
      </c>
      <c r="F102" s="14" t="str">
        <f aca="false">IF(Reorders!H53="","",Reorders!H53)</f>
        <v/>
      </c>
      <c r="G102" s="15" t="str">
        <f aca="false">IF(Reorders!I53="","",Reorders!I53)</f>
        <v/>
      </c>
    </row>
    <row r="103" customFormat="false" ht="15" hidden="false" customHeight="false" outlineLevel="0" collapsed="false">
      <c r="A103" s="14" t="str">
        <f aca="false">IF(Reorders!A54="","",Reorders!A54)</f>
        <v/>
      </c>
      <c r="B103" s="14" t="str">
        <f aca="false">IF(Reorders!A54="","","Reorder")</f>
        <v/>
      </c>
      <c r="C103" s="15" t="str">
        <f aca="false">IF(Reorders!B54="","",Reorders!B54)</f>
        <v/>
      </c>
      <c r="D103" s="15" t="str">
        <f aca="false">IF(Reorders!E54="","",Reorders!E54)</f>
        <v/>
      </c>
      <c r="E103" s="14" t="str">
        <f aca="false">IF(Reorders!G54="","",Reorders!G54)</f>
        <v/>
      </c>
      <c r="F103" s="14" t="str">
        <f aca="false">IF(Reorders!H54="","",Reorders!H54)</f>
        <v/>
      </c>
      <c r="G103" s="15" t="str">
        <f aca="false">IF(Reorders!I54="","",Reorders!I54)</f>
        <v/>
      </c>
    </row>
    <row r="104" customFormat="false" ht="15" hidden="false" customHeight="false" outlineLevel="0" collapsed="false">
      <c r="A104" s="14" t="str">
        <f aca="false">IF(Reorders!A55="","",Reorders!A55)</f>
        <v/>
      </c>
      <c r="B104" s="14" t="str">
        <f aca="false">IF(Reorders!A55="","","Reorder")</f>
        <v/>
      </c>
      <c r="C104" s="15" t="str">
        <f aca="false">IF(Reorders!B55="","",Reorders!B55)</f>
        <v/>
      </c>
      <c r="D104" s="15" t="str">
        <f aca="false">IF(Reorders!E55="","",Reorders!E55)</f>
        <v/>
      </c>
      <c r="E104" s="14" t="str">
        <f aca="false">IF(Reorders!G55="","",Reorders!G55)</f>
        <v/>
      </c>
      <c r="F104" s="14" t="str">
        <f aca="false">IF(Reorders!H55="","",Reorders!H55)</f>
        <v/>
      </c>
      <c r="G104" s="15" t="str">
        <f aca="false">IF(Reorders!I55="","",Reorders!I55)</f>
        <v/>
      </c>
    </row>
    <row r="105" customFormat="false" ht="15" hidden="false" customHeight="false" outlineLevel="0" collapsed="false">
      <c r="A105" s="14" t="str">
        <f aca="false">IF(Reorders!A56="","",Reorders!A56)</f>
        <v/>
      </c>
      <c r="B105" s="14" t="str">
        <f aca="false">IF(Reorders!A56="","","Reorder")</f>
        <v/>
      </c>
      <c r="C105" s="15" t="str">
        <f aca="false">IF(Reorders!B56="","",Reorders!B56)</f>
        <v/>
      </c>
      <c r="D105" s="15" t="str">
        <f aca="false">IF(Reorders!E56="","",Reorders!E56)</f>
        <v/>
      </c>
      <c r="E105" s="14" t="str">
        <f aca="false">IF(Reorders!G56="","",Reorders!G56)</f>
        <v/>
      </c>
      <c r="F105" s="14" t="str">
        <f aca="false">IF(Reorders!H56="","",Reorders!H56)</f>
        <v/>
      </c>
      <c r="G105" s="15" t="str">
        <f aca="false">IF(Reorders!I56="","",Reorders!I56)</f>
        <v/>
      </c>
    </row>
    <row r="106" customFormat="false" ht="15" hidden="false" customHeight="false" outlineLevel="0" collapsed="false">
      <c r="A106" s="14" t="str">
        <f aca="false">IF(Reorders!A57="","",Reorders!A57)</f>
        <v/>
      </c>
      <c r="B106" s="14" t="str">
        <f aca="false">IF(Reorders!A57="","","Reorder")</f>
        <v/>
      </c>
      <c r="C106" s="15" t="str">
        <f aca="false">IF(Reorders!B57="","",Reorders!B57)</f>
        <v/>
      </c>
      <c r="D106" s="15" t="str">
        <f aca="false">IF(Reorders!E57="","",Reorders!E57)</f>
        <v/>
      </c>
      <c r="E106" s="14" t="str">
        <f aca="false">IF(Reorders!G57="","",Reorders!G57)</f>
        <v/>
      </c>
      <c r="F106" s="14" t="str">
        <f aca="false">IF(Reorders!H57="","",Reorders!H57)</f>
        <v/>
      </c>
      <c r="G106" s="15" t="str">
        <f aca="false">IF(Reorders!I57="","",Reorders!I57)</f>
        <v/>
      </c>
    </row>
    <row r="107" customFormat="false" ht="15" hidden="false" customHeight="false" outlineLevel="0" collapsed="false">
      <c r="A107" s="14" t="str">
        <f aca="false">IF(Reorders!A58="","",Reorders!A58)</f>
        <v/>
      </c>
      <c r="B107" s="14" t="str">
        <f aca="false">IF(Reorders!A58="","","Reorder")</f>
        <v/>
      </c>
      <c r="C107" s="15" t="str">
        <f aca="false">IF(Reorders!B58="","",Reorders!B58)</f>
        <v/>
      </c>
      <c r="D107" s="15" t="str">
        <f aca="false">IF(Reorders!E58="","",Reorders!E58)</f>
        <v/>
      </c>
      <c r="E107" s="14" t="str">
        <f aca="false">IF(Reorders!G58="","",Reorders!G58)</f>
        <v/>
      </c>
      <c r="F107" s="14" t="str">
        <f aca="false">IF(Reorders!H58="","",Reorders!H58)</f>
        <v/>
      </c>
      <c r="G107" s="15" t="str">
        <f aca="false">IF(Reorders!I58="","",Reorders!I58)</f>
        <v/>
      </c>
    </row>
    <row r="108" customFormat="false" ht="15" hidden="false" customHeight="false" outlineLevel="0" collapsed="false">
      <c r="A108" s="14" t="str">
        <f aca="false">IF(Reorders!A59="","",Reorders!A59)</f>
        <v/>
      </c>
      <c r="B108" s="14" t="str">
        <f aca="false">IF(Reorders!A59="","","Reorder")</f>
        <v/>
      </c>
      <c r="C108" s="15" t="str">
        <f aca="false">IF(Reorders!B59="","",Reorders!B59)</f>
        <v/>
      </c>
      <c r="D108" s="15" t="str">
        <f aca="false">IF(Reorders!E59="","",Reorders!E59)</f>
        <v/>
      </c>
      <c r="E108" s="14" t="str">
        <f aca="false">IF(Reorders!G59="","",Reorders!G59)</f>
        <v/>
      </c>
      <c r="F108" s="14" t="str">
        <f aca="false">IF(Reorders!H59="","",Reorders!H59)</f>
        <v/>
      </c>
      <c r="G108" s="15" t="str">
        <f aca="false">IF(Reorders!I59="","",Reorders!I59)</f>
        <v/>
      </c>
    </row>
    <row r="109" customFormat="false" ht="15" hidden="false" customHeight="false" outlineLevel="0" collapsed="false">
      <c r="A109" s="14" t="str">
        <f aca="false">IF(Reorders!A60="","",Reorders!A60)</f>
        <v/>
      </c>
      <c r="B109" s="14" t="str">
        <f aca="false">IF(Reorders!A60="","","Reorder")</f>
        <v/>
      </c>
      <c r="C109" s="15" t="str">
        <f aca="false">IF(Reorders!B60="","",Reorders!B60)</f>
        <v/>
      </c>
      <c r="D109" s="15" t="str">
        <f aca="false">IF(Reorders!E60="","",Reorders!E60)</f>
        <v/>
      </c>
      <c r="E109" s="14" t="str">
        <f aca="false">IF(Reorders!G60="","",Reorders!G60)</f>
        <v/>
      </c>
      <c r="F109" s="14" t="str">
        <f aca="false">IF(Reorders!H60="","",Reorders!H60)</f>
        <v/>
      </c>
      <c r="G109" s="15" t="str">
        <f aca="false">IF(Reorders!I60="","",Reorders!I60)</f>
        <v/>
      </c>
    </row>
    <row r="110" customFormat="false" ht="15" hidden="false" customHeight="false" outlineLevel="0" collapsed="false">
      <c r="A110" s="14" t="str">
        <f aca="false">IF(Reorders!A61="","",Reorders!A61)</f>
        <v/>
      </c>
      <c r="B110" s="14" t="str">
        <f aca="false">IF(Reorders!A61="","","Reorder")</f>
        <v/>
      </c>
      <c r="C110" s="15" t="str">
        <f aca="false">IF(Reorders!B61="","",Reorders!B61)</f>
        <v/>
      </c>
      <c r="D110" s="15" t="str">
        <f aca="false">IF(Reorders!E61="","",Reorders!E61)</f>
        <v/>
      </c>
      <c r="E110" s="14" t="str">
        <f aca="false">IF(Reorders!G61="","",Reorders!G61)</f>
        <v/>
      </c>
      <c r="F110" s="14" t="str">
        <f aca="false">IF(Reorders!H61="","",Reorders!H61)</f>
        <v/>
      </c>
      <c r="G110" s="15" t="str">
        <f aca="false">IF(Reorders!I61="","",Reorders!I61)</f>
        <v/>
      </c>
    </row>
    <row r="111" customFormat="false" ht="15" hidden="false" customHeight="false" outlineLevel="0" collapsed="false">
      <c r="A111" s="14" t="str">
        <f aca="false">IF(Reorders!A62="","",Reorders!A62)</f>
        <v/>
      </c>
      <c r="B111" s="14" t="str">
        <f aca="false">IF(Reorders!A62="","","Reorder")</f>
        <v/>
      </c>
      <c r="C111" s="15" t="str">
        <f aca="false">IF(Reorders!B62="","",Reorders!B62)</f>
        <v/>
      </c>
      <c r="D111" s="15" t="str">
        <f aca="false">IF(Reorders!E62="","",Reorders!E62)</f>
        <v/>
      </c>
      <c r="E111" s="14" t="str">
        <f aca="false">IF(Reorders!G62="","",Reorders!G62)</f>
        <v/>
      </c>
      <c r="F111" s="14" t="str">
        <f aca="false">IF(Reorders!H62="","",Reorders!H62)</f>
        <v/>
      </c>
      <c r="G111" s="15" t="str">
        <f aca="false">IF(Reorders!I62="","",Reorders!I62)</f>
        <v/>
      </c>
    </row>
  </sheetData>
  <autoFilter ref="A9:G111"/>
  <mergeCells count="13">
    <mergeCell ref="A1:G1"/>
    <mergeCell ref="A2:G2"/>
    <mergeCell ref="A3:G3"/>
    <mergeCell ref="A5:B5"/>
    <mergeCell ref="C5:D5"/>
    <mergeCell ref="E5:F5"/>
    <mergeCell ref="G5:H5"/>
    <mergeCell ref="A6:B6"/>
    <mergeCell ref="C6:D6"/>
    <mergeCell ref="E6:F6"/>
    <mergeCell ref="G6:H6"/>
    <mergeCell ref="A10:G10"/>
    <mergeCell ref="A61:G61"/>
  </mergeCells>
  <conditionalFormatting sqref="A11:G111">
    <cfRule type="expression" priority="2" aboveAverage="0" equalAverage="0" bottom="0" percent="0" rank="0" text="" dxfId="13">
      <formula>$A11=""</formula>
    </cfRule>
    <cfRule type="expression" priority="3" aboveAverage="0" equalAverage="0" bottom="0" percent="0" rank="0" text="" dxfId="14">
      <formula>$D11="Completed"</formula>
    </cfRule>
  </conditionalFormatting>
  <conditionalFormatting sqref="D11:D111">
    <cfRule type="expression" priority="4" aboveAverage="0" equalAverage="0" bottom="0" percent="0" rank="0" text="" dxfId="15">
      <formula>EXACT($D11,"1. Quote Requested")</formula>
    </cfRule>
    <cfRule type="expression" priority="5" aboveAverage="0" equalAverage="0" bottom="0" percent="0" rank="0" text="" dxfId="16">
      <formula>EXACT($D11,"2. Quote Sent to Customer")</formula>
    </cfRule>
    <cfRule type="expression" priority="6" aboveAverage="0" equalAverage="0" bottom="0" percent="0" rank="0" text="" dxfId="17">
      <formula>EXACT($D11,"3. Customer PO Received")</formula>
    </cfRule>
    <cfRule type="expression" priority="7" aboveAverage="0" equalAverage="0" bottom="0" percent="0" rank="0" text="" dxfId="18">
      <formula>EXACT($D11,"4. PO Issued to Molder")</formula>
    </cfRule>
    <cfRule type="expression" priority="8" aboveAverage="0" equalAverage="0" bottom="0" percent="0" rank="0" text="" dxfId="19">
      <formula>EXACT($D11,"5. Mold in Production")</formula>
    </cfRule>
    <cfRule type="expression" priority="9" aboveAverage="0" equalAverage="0" bottom="0" percent="0" rank="0" text="" dxfId="20">
      <formula>EXACT($D11,"6. Sample / FAI Approval")</formula>
    </cfRule>
    <cfRule type="expression" priority="10" aboveAverage="0" equalAverage="0" bottom="0" percent="0" rank="0" text="" dxfId="21">
      <formula>EXACT($D11,"7. Production &amp; Shipping")</formula>
    </cfRule>
    <cfRule type="expression" priority="11" aboveAverage="0" equalAverage="0" bottom="0" percent="0" rank="0" text="" dxfId="22">
      <formula>EXACT($D11,"Completed")</formula>
    </cfRule>
    <cfRule type="expression" priority="12" aboveAverage="0" equalAverage="0" bottom="0" percent="0" rank="0" text="" dxfId="17">
      <formula>EXACT($D11,"1. Customer PO Received")</formula>
    </cfRule>
    <cfRule type="expression" priority="13" aboveAverage="0" equalAverage="0" bottom="0" percent="0" rank="0" text="" dxfId="18">
      <formula>EXACT($D11,"2. PO Issued to Molder")</formula>
    </cfRule>
    <cfRule type="expression" priority="14" aboveAverage="0" equalAverage="0" bottom="0" percent="0" rank="0" text="" dxfId="21">
      <formula>EXACT($D11,"3. Production &amp; Shipping")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X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2" topLeftCell="A1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4"/>
    <col collapsed="false" customWidth="true" hidden="false" outlineLevel="0" max="3" min="2" style="0" width="22"/>
    <col collapsed="false" customWidth="true" hidden="false" outlineLevel="0" max="5" min="4" style="0" width="24"/>
    <col collapsed="false" customWidth="true" hidden="false" outlineLevel="0" max="6" min="6" style="0" width="11"/>
    <col collapsed="false" customWidth="true" hidden="false" outlineLevel="0" max="8" min="7" style="0" width="14"/>
    <col collapsed="false" customWidth="true" hidden="false" outlineLevel="0" max="9" min="9" style="0" width="30"/>
    <col collapsed="false" customWidth="true" hidden="false" outlineLevel="0" max="18" min="10" style="0" width="13"/>
    <col collapsed="false" customWidth="true" hidden="false" outlineLevel="0" max="19" min="19" style="0" width="11"/>
    <col collapsed="false" customWidth="true" hidden="false" outlineLevel="0" max="20" min="20" style="0" width="22"/>
    <col collapsed="false" customWidth="true" hidden="false" outlineLevel="0" max="21" min="21" style="0" width="15"/>
    <col collapsed="false" customWidth="true" hidden="false" outlineLevel="0" max="22" min="22" style="0" width="24"/>
    <col collapsed="false" customWidth="true" hidden="true" outlineLevel="0" max="23" min="23" style="0" width="12"/>
    <col collapsed="false" customWidth="true" hidden="true" outlineLevel="0" max="24" min="24" style="0" width="11"/>
  </cols>
  <sheetData>
    <row r="1" customFormat="false" ht="22.05" hidden="false" customHeight="false" outlineLevel="0" collapsed="false">
      <c r="A1" s="1" t="s">
        <v>13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false" outlineLevel="0" collapsed="false">
      <c r="A2" s="2" t="s">
        <v>14</v>
      </c>
      <c r="B2" s="2"/>
      <c r="C2" s="2"/>
      <c r="D2" s="2"/>
      <c r="E2" s="2"/>
      <c r="F2" s="2"/>
      <c r="G2" s="2"/>
      <c r="H2" s="2"/>
      <c r="I2" s="2"/>
    </row>
    <row r="12" customFormat="false" ht="31.5" hidden="false" customHeight="true" outlineLevel="0" collapsed="false">
      <c r="A12" s="12" t="s">
        <v>6</v>
      </c>
      <c r="B12" s="12" t="s">
        <v>8</v>
      </c>
      <c r="C12" s="12" t="s">
        <v>15</v>
      </c>
      <c r="D12" s="12" t="s">
        <v>16</v>
      </c>
      <c r="E12" s="12" t="s">
        <v>9</v>
      </c>
      <c r="F12" s="12" t="s">
        <v>17</v>
      </c>
      <c r="G12" s="12" t="s">
        <v>10</v>
      </c>
      <c r="H12" s="12" t="s">
        <v>11</v>
      </c>
      <c r="I12" s="12" t="s">
        <v>12</v>
      </c>
      <c r="J12" s="12" t="s">
        <v>18</v>
      </c>
      <c r="K12" s="12" t="s">
        <v>19</v>
      </c>
      <c r="L12" s="12" t="s">
        <v>20</v>
      </c>
      <c r="M12" s="12" t="s">
        <v>21</v>
      </c>
      <c r="N12" s="12" t="s">
        <v>22</v>
      </c>
      <c r="O12" s="12" t="s">
        <v>23</v>
      </c>
      <c r="P12" s="12" t="s">
        <v>24</v>
      </c>
      <c r="Q12" s="12" t="s">
        <v>25</v>
      </c>
      <c r="R12" s="12" t="s">
        <v>26</v>
      </c>
      <c r="S12" s="12" t="s">
        <v>27</v>
      </c>
      <c r="T12" s="12" t="s">
        <v>28</v>
      </c>
      <c r="U12" s="12" t="s">
        <v>29</v>
      </c>
      <c r="V12" s="12" t="s">
        <v>30</v>
      </c>
      <c r="W12" s="12" t="s">
        <v>31</v>
      </c>
      <c r="X12" s="12" t="s">
        <v>32</v>
      </c>
    </row>
    <row r="13" customFormat="false" ht="15" hidden="false" customHeight="false" outlineLevel="0" collapsed="false">
      <c r="A13" s="14" t="s">
        <v>33</v>
      </c>
      <c r="B13" s="14" t="s">
        <v>34</v>
      </c>
      <c r="C13" s="15" t="s">
        <v>35</v>
      </c>
      <c r="D13" s="14" t="s">
        <v>36</v>
      </c>
      <c r="E13" s="14" t="s">
        <v>37</v>
      </c>
      <c r="F13" s="14" t="s">
        <v>38</v>
      </c>
      <c r="G13" s="14"/>
      <c r="H13" s="14"/>
      <c r="I13" s="15" t="s">
        <v>39</v>
      </c>
      <c r="J13" s="17" t="n">
        <v>12500</v>
      </c>
      <c r="K13" s="17" t="n">
        <v>8200</v>
      </c>
      <c r="L13" s="18" t="n">
        <v>46132</v>
      </c>
      <c r="M13" s="18"/>
      <c r="N13" s="18"/>
      <c r="O13" s="18"/>
      <c r="P13" s="18"/>
      <c r="Q13" s="18"/>
      <c r="R13" s="18"/>
      <c r="S13" s="14"/>
      <c r="T13" s="15"/>
      <c r="U13" s="18" t="str">
        <f aca="false">IFERROR(IF(maxifs('Production Log'!A:A,'Production Log'!B:B,A13,'Production Log'!C:C,"Production")=0,IF(maxifs('Production Log'!A:A,'Production Log'!B:B,A13)=0,"",maxifs('Production Log'!A:A,'Production Log'!B:B,A13)),maxifs('Production Log'!A:A,'Production Log'!B:B,A13,'Production Log'!C:C,"Production")),"")</f>
        <v/>
      </c>
      <c r="V13" s="15"/>
      <c r="W13" s="18" t="str">
        <f aca="false">IF(E13="Completed","",IF(MIN(O13,Q13,R13)=0,"",MIN(O13,Q13,R13)))</f>
        <v/>
      </c>
      <c r="X13" s="19" t="str">
        <f aca="true">IF(W13="","",W13-TODAY())</f>
        <v/>
      </c>
    </row>
    <row r="14" customFormat="false" ht="15" hidden="false" customHeight="false" outlineLevel="0" collapsed="false">
      <c r="A14" s="14" t="s">
        <v>40</v>
      </c>
      <c r="B14" s="14" t="s">
        <v>41</v>
      </c>
      <c r="C14" s="15" t="s">
        <v>42</v>
      </c>
      <c r="D14" s="14" t="s">
        <v>43</v>
      </c>
      <c r="E14" s="14" t="s">
        <v>44</v>
      </c>
      <c r="F14" s="14" t="s">
        <v>38</v>
      </c>
      <c r="G14" s="14" t="s">
        <v>45</v>
      </c>
      <c r="H14" s="14" t="s">
        <v>46</v>
      </c>
      <c r="I14" s="15" t="s">
        <v>47</v>
      </c>
      <c r="J14" s="17" t="n">
        <v>48500</v>
      </c>
      <c r="K14" s="17" t="n">
        <v>32400</v>
      </c>
      <c r="L14" s="18" t="n">
        <v>46092</v>
      </c>
      <c r="M14" s="18" t="n">
        <v>46109</v>
      </c>
      <c r="N14" s="18" t="n">
        <v>46114</v>
      </c>
      <c r="O14" s="18" t="n">
        <v>46188</v>
      </c>
      <c r="P14" s="18"/>
      <c r="Q14" s="18"/>
      <c r="R14" s="18" t="n">
        <v>46223</v>
      </c>
      <c r="S14" s="14"/>
      <c r="T14" s="15"/>
      <c r="U14" s="18" t="str">
        <f aca="false">IFERROR(IF(maxifs('Production Log'!A:A,'Production Log'!B:B,A14,'Production Log'!C:C,"Production")=0,IF(maxifs('Production Log'!A:A,'Production Log'!B:B,A14)=0,"",maxifs('Production Log'!A:A,'Production Log'!B:B,A14)),maxifs('Production Log'!A:A,'Production Log'!B:B,A14,'Production Log'!C:C,"Production")),"")</f>
        <v/>
      </c>
      <c r="V14" s="15"/>
      <c r="W14" s="18" t="n">
        <f aca="false">IF(E14="Completed","",IF(MIN(O14,Q14,R14)=0,"",MIN(O14,Q14,R14)))</f>
        <v>46188</v>
      </c>
      <c r="X14" s="19" t="n">
        <f aca="true">IF(W14="","",W14-TODAY())</f>
        <v>47</v>
      </c>
    </row>
    <row r="15" customFormat="false" ht="15" hidden="false" customHeight="false" outlineLevel="0" collapsed="false">
      <c r="A15" s="14" t="s">
        <v>48</v>
      </c>
      <c r="B15" s="14" t="s">
        <v>49</v>
      </c>
      <c r="C15" s="15" t="s">
        <v>50</v>
      </c>
      <c r="D15" s="14" t="s">
        <v>36</v>
      </c>
      <c r="E15" s="14" t="s">
        <v>51</v>
      </c>
      <c r="F15" s="14" t="s">
        <v>52</v>
      </c>
      <c r="G15" s="14" t="s">
        <v>53</v>
      </c>
      <c r="H15" s="14" t="s">
        <v>54</v>
      </c>
      <c r="I15" s="15" t="s">
        <v>55</v>
      </c>
      <c r="J15" s="17" t="n">
        <v>67000</v>
      </c>
      <c r="K15" s="17" t="n">
        <v>41000</v>
      </c>
      <c r="L15" s="18" t="n">
        <v>46037</v>
      </c>
      <c r="M15" s="18" t="n">
        <v>46054</v>
      </c>
      <c r="N15" s="18" t="n">
        <v>46058</v>
      </c>
      <c r="O15" s="18" t="n">
        <v>46122</v>
      </c>
      <c r="P15" s="18" t="n">
        <v>46115</v>
      </c>
      <c r="Q15" s="18"/>
      <c r="R15" s="18" t="n">
        <v>46167</v>
      </c>
      <c r="S15" s="14" t="s">
        <v>56</v>
      </c>
      <c r="T15" s="15" t="s">
        <v>57</v>
      </c>
      <c r="U15" s="18" t="str">
        <f aca="false">IFERROR(IF(maxifs('Production Log'!A:A,'Production Log'!B:B,A15,'Production Log'!C:C,"Production")=0,IF(maxifs('Production Log'!A:A,'Production Log'!B:B,A15)=0,"",maxifs('Production Log'!A:A,'Production Log'!B:B,A15)),maxifs('Production Log'!A:A,'Production Log'!B:B,A15,'Production Log'!C:C,"Production")),"")</f>
        <v/>
      </c>
      <c r="V15" s="15"/>
      <c r="W15" s="18" t="n">
        <f aca="false">IF(E15="Completed","",IF(MIN(O15,Q15,R15)=0,"",MIN(O15,Q15,R15)))</f>
        <v>46122</v>
      </c>
      <c r="X15" s="19" t="n">
        <f aca="true">IF(W15="","",W15-TODAY())</f>
        <v>-19</v>
      </c>
    </row>
    <row r="16" customFormat="false" ht="23.85" hidden="false" customHeight="false" outlineLevel="0" collapsed="false">
      <c r="A16" s="14" t="s">
        <v>58</v>
      </c>
      <c r="B16" s="14" t="s">
        <v>34</v>
      </c>
      <c r="C16" s="15" t="s">
        <v>59</v>
      </c>
      <c r="D16" s="14" t="s">
        <v>43</v>
      </c>
      <c r="E16" s="14" t="s">
        <v>60</v>
      </c>
      <c r="F16" s="14" t="s">
        <v>52</v>
      </c>
      <c r="G16" s="14"/>
      <c r="H16" s="14"/>
      <c r="I16" s="15" t="s">
        <v>61</v>
      </c>
      <c r="J16" s="17"/>
      <c r="K16" s="17"/>
      <c r="L16" s="18"/>
      <c r="M16" s="18"/>
      <c r="N16" s="18"/>
      <c r="O16" s="18"/>
      <c r="P16" s="18"/>
      <c r="Q16" s="18"/>
      <c r="R16" s="18"/>
      <c r="S16" s="14"/>
      <c r="T16" s="15"/>
      <c r="U16" s="18" t="str">
        <f aca="false">IFERROR(IF(maxifs('Production Log'!A:A,'Production Log'!B:B,A16,'Production Log'!C:C,"Production")=0,IF(maxifs('Production Log'!A:A,'Production Log'!B:B,A16)=0,"",maxifs('Production Log'!A:A,'Production Log'!B:B,A16)),maxifs('Production Log'!A:A,'Production Log'!B:B,A16,'Production Log'!C:C,"Production")),"")</f>
        <v/>
      </c>
      <c r="V16" s="15"/>
      <c r="W16" s="18" t="str">
        <f aca="false">IF(E16="Completed","",IF(MIN(O16,Q16,R16)=0,"",MIN(O16,Q16,R16)))</f>
        <v/>
      </c>
      <c r="X16" s="19" t="str">
        <f aca="true">IF(W16="","",W16-TODAY())</f>
        <v/>
      </c>
    </row>
    <row r="17" customFormat="false" ht="15" hidden="false" customHeight="false" outlineLevel="0" collapsed="false">
      <c r="A17" s="14"/>
      <c r="B17" s="14"/>
      <c r="C17" s="15"/>
      <c r="D17" s="14"/>
      <c r="E17" s="14"/>
      <c r="F17" s="14"/>
      <c r="G17" s="14"/>
      <c r="H17" s="14"/>
      <c r="I17" s="15"/>
      <c r="J17" s="17"/>
      <c r="K17" s="17"/>
      <c r="L17" s="18"/>
      <c r="M17" s="18"/>
      <c r="N17" s="18"/>
      <c r="O17" s="18"/>
      <c r="P17" s="18"/>
      <c r="Q17" s="18"/>
      <c r="R17" s="18"/>
      <c r="S17" s="14"/>
      <c r="T17" s="15"/>
      <c r="U17" s="18" t="str">
        <f aca="false">IFERROR(IF(maxifs('Production Log'!A:A,'Production Log'!B:B,A17,'Production Log'!C:C,"Production")=0,IF(maxifs('Production Log'!A:A,'Production Log'!B:B,A17)=0,"",maxifs('Production Log'!A:A,'Production Log'!B:B,A17)),maxifs('Production Log'!A:A,'Production Log'!B:B,A17,'Production Log'!C:C,"Production")),"")</f>
        <v/>
      </c>
      <c r="V17" s="15"/>
      <c r="W17" s="18" t="str">
        <f aca="false">IF(E17="Completed","",IF(MIN(O17,Q17,R17)=0,"",MIN(O17,Q17,R17)))</f>
        <v/>
      </c>
      <c r="X17" s="19" t="str">
        <f aca="true">IF(W17="","",W17-TODAY())</f>
        <v/>
      </c>
    </row>
    <row r="18" customFormat="false" ht="15" hidden="false" customHeight="false" outlineLevel="0" collapsed="false">
      <c r="A18" s="14"/>
      <c r="B18" s="14"/>
      <c r="C18" s="15"/>
      <c r="D18" s="14"/>
      <c r="E18" s="14"/>
      <c r="F18" s="14"/>
      <c r="G18" s="14"/>
      <c r="H18" s="14"/>
      <c r="I18" s="15"/>
      <c r="J18" s="17"/>
      <c r="K18" s="17"/>
      <c r="L18" s="18"/>
      <c r="M18" s="18"/>
      <c r="N18" s="18"/>
      <c r="O18" s="18"/>
      <c r="P18" s="18"/>
      <c r="Q18" s="18"/>
      <c r="R18" s="18"/>
      <c r="S18" s="14"/>
      <c r="T18" s="15"/>
      <c r="U18" s="18" t="str">
        <f aca="false">IFERROR(IF(maxifs('Production Log'!A:A,'Production Log'!B:B,A18,'Production Log'!C:C,"Production")=0,IF(maxifs('Production Log'!A:A,'Production Log'!B:B,A18)=0,"",maxifs('Production Log'!A:A,'Production Log'!B:B,A18)),maxifs('Production Log'!A:A,'Production Log'!B:B,A18,'Production Log'!C:C,"Production")),"")</f>
        <v/>
      </c>
      <c r="V18" s="15"/>
      <c r="W18" s="18" t="str">
        <f aca="false">IF(E18="Completed","",IF(MIN(O18,Q18,R18)=0,"",MIN(O18,Q18,R18)))</f>
        <v/>
      </c>
      <c r="X18" s="19" t="str">
        <f aca="true">IF(W18="","",W18-TODAY())</f>
        <v/>
      </c>
    </row>
    <row r="19" customFormat="false" ht="15" hidden="false" customHeight="false" outlineLevel="0" collapsed="false">
      <c r="A19" s="14"/>
      <c r="B19" s="14"/>
      <c r="C19" s="15"/>
      <c r="D19" s="14"/>
      <c r="E19" s="14"/>
      <c r="F19" s="14"/>
      <c r="G19" s="14"/>
      <c r="H19" s="14"/>
      <c r="I19" s="15"/>
      <c r="J19" s="17"/>
      <c r="K19" s="17"/>
      <c r="L19" s="18"/>
      <c r="M19" s="18"/>
      <c r="N19" s="18"/>
      <c r="O19" s="18"/>
      <c r="P19" s="18"/>
      <c r="Q19" s="18"/>
      <c r="R19" s="18"/>
      <c r="S19" s="14"/>
      <c r="T19" s="15"/>
      <c r="U19" s="18" t="str">
        <f aca="false">IFERROR(IF(maxifs('Production Log'!A:A,'Production Log'!B:B,A19,'Production Log'!C:C,"Production")=0,IF(maxifs('Production Log'!A:A,'Production Log'!B:B,A19)=0,"",maxifs('Production Log'!A:A,'Production Log'!B:B,A19)),maxifs('Production Log'!A:A,'Production Log'!B:B,A19,'Production Log'!C:C,"Production")),"")</f>
        <v/>
      </c>
      <c r="V19" s="15"/>
      <c r="W19" s="18" t="str">
        <f aca="false">IF(E19="Completed","",IF(MIN(O19,Q19,R19)=0,"",MIN(O19,Q19,R19)))</f>
        <v/>
      </c>
      <c r="X19" s="19" t="str">
        <f aca="true">IF(W19="","",W19-TODAY())</f>
        <v/>
      </c>
    </row>
    <row r="20" customFormat="false" ht="15" hidden="false" customHeight="false" outlineLevel="0" collapsed="false">
      <c r="A20" s="14"/>
      <c r="B20" s="14"/>
      <c r="C20" s="15"/>
      <c r="D20" s="14"/>
      <c r="E20" s="14"/>
      <c r="F20" s="14"/>
      <c r="G20" s="14"/>
      <c r="H20" s="14"/>
      <c r="I20" s="15"/>
      <c r="J20" s="17"/>
      <c r="K20" s="17"/>
      <c r="L20" s="18"/>
      <c r="M20" s="18"/>
      <c r="N20" s="18"/>
      <c r="O20" s="18"/>
      <c r="P20" s="18"/>
      <c r="Q20" s="18"/>
      <c r="R20" s="18"/>
      <c r="S20" s="14"/>
      <c r="T20" s="15"/>
      <c r="U20" s="18" t="str">
        <f aca="false">IFERROR(IF(maxifs('Production Log'!A:A,'Production Log'!B:B,A20,'Production Log'!C:C,"Production")=0,IF(maxifs('Production Log'!A:A,'Production Log'!B:B,A20)=0,"",maxifs('Production Log'!A:A,'Production Log'!B:B,A20)),maxifs('Production Log'!A:A,'Production Log'!B:B,A20,'Production Log'!C:C,"Production")),"")</f>
        <v/>
      </c>
      <c r="V20" s="15"/>
      <c r="W20" s="18" t="str">
        <f aca="false">IF(E20="Completed","",IF(MIN(O20,Q20,R20)=0,"",MIN(O20,Q20,R20)))</f>
        <v/>
      </c>
      <c r="X20" s="19" t="str">
        <f aca="true">IF(W20="","",W20-TODAY())</f>
        <v/>
      </c>
    </row>
    <row r="21" customFormat="false" ht="15" hidden="false" customHeight="false" outlineLevel="0" collapsed="false">
      <c r="A21" s="14"/>
      <c r="B21" s="14"/>
      <c r="C21" s="15"/>
      <c r="D21" s="14"/>
      <c r="E21" s="14"/>
      <c r="F21" s="14"/>
      <c r="G21" s="14"/>
      <c r="H21" s="14"/>
      <c r="I21" s="15"/>
      <c r="J21" s="17"/>
      <c r="K21" s="17"/>
      <c r="L21" s="18"/>
      <c r="M21" s="18"/>
      <c r="N21" s="18"/>
      <c r="O21" s="18"/>
      <c r="P21" s="18"/>
      <c r="Q21" s="18"/>
      <c r="R21" s="18"/>
      <c r="S21" s="14"/>
      <c r="T21" s="15"/>
      <c r="U21" s="18" t="str">
        <f aca="false">IFERROR(IF(maxifs('Production Log'!A:A,'Production Log'!B:B,A21,'Production Log'!C:C,"Production")=0,IF(maxifs('Production Log'!A:A,'Production Log'!B:B,A21)=0,"",maxifs('Production Log'!A:A,'Production Log'!B:B,A21)),maxifs('Production Log'!A:A,'Production Log'!B:B,A21,'Production Log'!C:C,"Production")),"")</f>
        <v/>
      </c>
      <c r="V21" s="15"/>
      <c r="W21" s="18" t="str">
        <f aca="false">IF(E21="Completed","",IF(MIN(O21,Q21,R21)=0,"",MIN(O21,Q21,R21)))</f>
        <v/>
      </c>
      <c r="X21" s="19" t="str">
        <f aca="true">IF(W21="","",W21-TODAY())</f>
        <v/>
      </c>
    </row>
    <row r="22" customFormat="false" ht="15" hidden="false" customHeight="false" outlineLevel="0" collapsed="false">
      <c r="A22" s="14"/>
      <c r="B22" s="14"/>
      <c r="C22" s="15"/>
      <c r="D22" s="14"/>
      <c r="E22" s="14"/>
      <c r="F22" s="14"/>
      <c r="G22" s="14"/>
      <c r="H22" s="14"/>
      <c r="I22" s="15"/>
      <c r="J22" s="17"/>
      <c r="K22" s="17"/>
      <c r="L22" s="18"/>
      <c r="M22" s="18"/>
      <c r="N22" s="18"/>
      <c r="O22" s="18"/>
      <c r="P22" s="18"/>
      <c r="Q22" s="18"/>
      <c r="R22" s="18"/>
      <c r="S22" s="14"/>
      <c r="T22" s="15"/>
      <c r="U22" s="18" t="str">
        <f aca="false">IFERROR(IF(maxifs('Production Log'!A:A,'Production Log'!B:B,A22,'Production Log'!C:C,"Production")=0,IF(maxifs('Production Log'!A:A,'Production Log'!B:B,A22)=0,"",maxifs('Production Log'!A:A,'Production Log'!B:B,A22)),maxifs('Production Log'!A:A,'Production Log'!B:B,A22,'Production Log'!C:C,"Production")),"")</f>
        <v/>
      </c>
      <c r="V22" s="15"/>
      <c r="W22" s="18" t="str">
        <f aca="false">IF(E22="Completed","",IF(MIN(O22,Q22,R22)=0,"",MIN(O22,Q22,R22)))</f>
        <v/>
      </c>
      <c r="X22" s="19" t="str">
        <f aca="true">IF(W22="","",W22-TODAY())</f>
        <v/>
      </c>
    </row>
    <row r="23" customFormat="false" ht="15" hidden="false" customHeight="false" outlineLevel="0" collapsed="false">
      <c r="A23" s="14"/>
      <c r="B23" s="14"/>
      <c r="C23" s="15"/>
      <c r="D23" s="14"/>
      <c r="E23" s="14"/>
      <c r="F23" s="14"/>
      <c r="G23" s="14"/>
      <c r="H23" s="14"/>
      <c r="I23" s="15"/>
      <c r="J23" s="17"/>
      <c r="K23" s="17"/>
      <c r="L23" s="18"/>
      <c r="M23" s="18"/>
      <c r="N23" s="18"/>
      <c r="O23" s="18"/>
      <c r="P23" s="18"/>
      <c r="Q23" s="18"/>
      <c r="R23" s="18"/>
      <c r="S23" s="14"/>
      <c r="T23" s="15"/>
      <c r="U23" s="18" t="str">
        <f aca="false">IFERROR(IF(maxifs('Production Log'!A:A,'Production Log'!B:B,A23,'Production Log'!C:C,"Production")=0,IF(maxifs('Production Log'!A:A,'Production Log'!B:B,A23)=0,"",maxifs('Production Log'!A:A,'Production Log'!B:B,A23)),maxifs('Production Log'!A:A,'Production Log'!B:B,A23,'Production Log'!C:C,"Production")),"")</f>
        <v/>
      </c>
      <c r="V23" s="15"/>
      <c r="W23" s="18" t="str">
        <f aca="false">IF(E23="Completed","",IF(MIN(O23,Q23,R23)=0,"",MIN(O23,Q23,R23)))</f>
        <v/>
      </c>
      <c r="X23" s="19" t="str">
        <f aca="true">IF(W23="","",W23-TODAY())</f>
        <v/>
      </c>
    </row>
    <row r="24" customFormat="false" ht="15" hidden="false" customHeight="false" outlineLevel="0" collapsed="false">
      <c r="A24" s="14"/>
      <c r="B24" s="14"/>
      <c r="C24" s="15"/>
      <c r="D24" s="14"/>
      <c r="E24" s="14"/>
      <c r="F24" s="14"/>
      <c r="G24" s="14"/>
      <c r="H24" s="14"/>
      <c r="I24" s="15"/>
      <c r="J24" s="17"/>
      <c r="K24" s="17"/>
      <c r="L24" s="18"/>
      <c r="M24" s="18"/>
      <c r="N24" s="18"/>
      <c r="O24" s="18"/>
      <c r="P24" s="18"/>
      <c r="Q24" s="18"/>
      <c r="R24" s="18"/>
      <c r="S24" s="14"/>
      <c r="T24" s="15"/>
      <c r="U24" s="18" t="str">
        <f aca="false">IFERROR(IF(maxifs('Production Log'!A:A,'Production Log'!B:B,A24,'Production Log'!C:C,"Production")=0,IF(maxifs('Production Log'!A:A,'Production Log'!B:B,A24)=0,"",maxifs('Production Log'!A:A,'Production Log'!B:B,A24)),maxifs('Production Log'!A:A,'Production Log'!B:B,A24,'Production Log'!C:C,"Production")),"")</f>
        <v/>
      </c>
      <c r="V24" s="15"/>
      <c r="W24" s="18" t="str">
        <f aca="false">IF(E24="Completed","",IF(MIN(O24,Q24,R24)=0,"",MIN(O24,Q24,R24)))</f>
        <v/>
      </c>
      <c r="X24" s="19" t="str">
        <f aca="true">IF(W24="","",W24-TODAY())</f>
        <v/>
      </c>
    </row>
    <row r="25" customFormat="false" ht="15" hidden="false" customHeight="false" outlineLevel="0" collapsed="false">
      <c r="A25" s="14"/>
      <c r="B25" s="14"/>
      <c r="C25" s="15"/>
      <c r="D25" s="14"/>
      <c r="E25" s="14"/>
      <c r="F25" s="14"/>
      <c r="G25" s="14"/>
      <c r="H25" s="14"/>
      <c r="I25" s="15"/>
      <c r="J25" s="17"/>
      <c r="K25" s="17"/>
      <c r="L25" s="18"/>
      <c r="M25" s="18"/>
      <c r="N25" s="18"/>
      <c r="O25" s="18"/>
      <c r="P25" s="18"/>
      <c r="Q25" s="18"/>
      <c r="R25" s="18"/>
      <c r="S25" s="14"/>
      <c r="T25" s="15"/>
      <c r="U25" s="18" t="str">
        <f aca="false">IFERROR(IF(maxifs('Production Log'!A:A,'Production Log'!B:B,A25,'Production Log'!C:C,"Production")=0,IF(maxifs('Production Log'!A:A,'Production Log'!B:B,A25)=0,"",maxifs('Production Log'!A:A,'Production Log'!B:B,A25)),maxifs('Production Log'!A:A,'Production Log'!B:B,A25,'Production Log'!C:C,"Production")),"")</f>
        <v/>
      </c>
      <c r="V25" s="15"/>
      <c r="W25" s="18" t="str">
        <f aca="false">IF(E25="Completed","",IF(MIN(O25,Q25,R25)=0,"",MIN(O25,Q25,R25)))</f>
        <v/>
      </c>
      <c r="X25" s="19" t="str">
        <f aca="true">IF(W25="","",W25-TODAY())</f>
        <v/>
      </c>
    </row>
    <row r="26" customFormat="false" ht="15" hidden="false" customHeight="false" outlineLevel="0" collapsed="false">
      <c r="A26" s="14"/>
      <c r="B26" s="14"/>
      <c r="C26" s="15"/>
      <c r="D26" s="14"/>
      <c r="E26" s="14"/>
      <c r="F26" s="14"/>
      <c r="G26" s="14"/>
      <c r="H26" s="14"/>
      <c r="I26" s="15"/>
      <c r="J26" s="17"/>
      <c r="K26" s="17"/>
      <c r="L26" s="18"/>
      <c r="M26" s="18"/>
      <c r="N26" s="18"/>
      <c r="O26" s="18"/>
      <c r="P26" s="18"/>
      <c r="Q26" s="18"/>
      <c r="R26" s="18"/>
      <c r="S26" s="14"/>
      <c r="T26" s="15"/>
      <c r="U26" s="18" t="str">
        <f aca="false">IFERROR(IF(maxifs('Production Log'!A:A,'Production Log'!B:B,A26,'Production Log'!C:C,"Production")=0,IF(maxifs('Production Log'!A:A,'Production Log'!B:B,A26)=0,"",maxifs('Production Log'!A:A,'Production Log'!B:B,A26)),maxifs('Production Log'!A:A,'Production Log'!B:B,A26,'Production Log'!C:C,"Production")),"")</f>
        <v/>
      </c>
      <c r="V26" s="15"/>
      <c r="W26" s="18" t="str">
        <f aca="false">IF(E26="Completed","",IF(MIN(O26,Q26,R26)=0,"",MIN(O26,Q26,R26)))</f>
        <v/>
      </c>
      <c r="X26" s="19" t="str">
        <f aca="true">IF(W26="","",W26-TODAY())</f>
        <v/>
      </c>
    </row>
    <row r="27" customFormat="false" ht="15" hidden="false" customHeight="false" outlineLevel="0" collapsed="false">
      <c r="A27" s="14"/>
      <c r="B27" s="14"/>
      <c r="C27" s="15"/>
      <c r="D27" s="14"/>
      <c r="E27" s="14"/>
      <c r="F27" s="14"/>
      <c r="G27" s="14"/>
      <c r="H27" s="14"/>
      <c r="I27" s="15"/>
      <c r="J27" s="17"/>
      <c r="K27" s="17"/>
      <c r="L27" s="18"/>
      <c r="M27" s="18"/>
      <c r="N27" s="18"/>
      <c r="O27" s="18"/>
      <c r="P27" s="18"/>
      <c r="Q27" s="18"/>
      <c r="R27" s="18"/>
      <c r="S27" s="14"/>
      <c r="T27" s="15"/>
      <c r="U27" s="18" t="str">
        <f aca="false">IFERROR(IF(maxifs('Production Log'!A:A,'Production Log'!B:B,A27,'Production Log'!C:C,"Production")=0,IF(maxifs('Production Log'!A:A,'Production Log'!B:B,A27)=0,"",maxifs('Production Log'!A:A,'Production Log'!B:B,A27)),maxifs('Production Log'!A:A,'Production Log'!B:B,A27,'Production Log'!C:C,"Production")),"")</f>
        <v/>
      </c>
      <c r="V27" s="15"/>
      <c r="W27" s="18" t="str">
        <f aca="false">IF(E27="Completed","",IF(MIN(O27,Q27,R27)=0,"",MIN(O27,Q27,R27)))</f>
        <v/>
      </c>
      <c r="X27" s="19" t="str">
        <f aca="true">IF(W27="","",W27-TODAY())</f>
        <v/>
      </c>
    </row>
    <row r="28" customFormat="false" ht="15" hidden="false" customHeight="false" outlineLevel="0" collapsed="false">
      <c r="A28" s="14"/>
      <c r="B28" s="14"/>
      <c r="C28" s="15"/>
      <c r="D28" s="14"/>
      <c r="E28" s="14"/>
      <c r="F28" s="14"/>
      <c r="G28" s="14"/>
      <c r="H28" s="14"/>
      <c r="I28" s="15"/>
      <c r="J28" s="17"/>
      <c r="K28" s="17"/>
      <c r="L28" s="18"/>
      <c r="M28" s="18"/>
      <c r="N28" s="18"/>
      <c r="O28" s="18"/>
      <c r="P28" s="18"/>
      <c r="Q28" s="18"/>
      <c r="R28" s="18"/>
      <c r="S28" s="14"/>
      <c r="T28" s="15"/>
      <c r="U28" s="18" t="str">
        <f aca="false">IFERROR(IF(maxifs('Production Log'!A:A,'Production Log'!B:B,A28,'Production Log'!C:C,"Production")=0,IF(maxifs('Production Log'!A:A,'Production Log'!B:B,A28)=0,"",maxifs('Production Log'!A:A,'Production Log'!B:B,A28)),maxifs('Production Log'!A:A,'Production Log'!B:B,A28,'Production Log'!C:C,"Production")),"")</f>
        <v/>
      </c>
      <c r="V28" s="15"/>
      <c r="W28" s="18" t="str">
        <f aca="false">IF(E28="Completed","",IF(MIN(O28,Q28,R28)=0,"",MIN(O28,Q28,R28)))</f>
        <v/>
      </c>
      <c r="X28" s="19" t="str">
        <f aca="true">IF(W28="","",W28-TODAY())</f>
        <v/>
      </c>
    </row>
    <row r="29" customFormat="false" ht="15" hidden="false" customHeight="false" outlineLevel="0" collapsed="false">
      <c r="A29" s="14"/>
      <c r="B29" s="14"/>
      <c r="C29" s="15"/>
      <c r="D29" s="14"/>
      <c r="E29" s="14"/>
      <c r="F29" s="14"/>
      <c r="G29" s="14"/>
      <c r="H29" s="14"/>
      <c r="I29" s="15"/>
      <c r="J29" s="17"/>
      <c r="K29" s="17"/>
      <c r="L29" s="18"/>
      <c r="M29" s="18"/>
      <c r="N29" s="18"/>
      <c r="O29" s="18"/>
      <c r="P29" s="18"/>
      <c r="Q29" s="18"/>
      <c r="R29" s="18"/>
      <c r="S29" s="14"/>
      <c r="T29" s="15"/>
      <c r="U29" s="18" t="str">
        <f aca="false">IFERROR(IF(maxifs('Production Log'!A:A,'Production Log'!B:B,A29,'Production Log'!C:C,"Production")=0,IF(maxifs('Production Log'!A:A,'Production Log'!B:B,A29)=0,"",maxifs('Production Log'!A:A,'Production Log'!B:B,A29)),maxifs('Production Log'!A:A,'Production Log'!B:B,A29,'Production Log'!C:C,"Production")),"")</f>
        <v/>
      </c>
      <c r="V29" s="15"/>
      <c r="W29" s="18" t="str">
        <f aca="false">IF(E29="Completed","",IF(MIN(O29,Q29,R29)=0,"",MIN(O29,Q29,R29)))</f>
        <v/>
      </c>
      <c r="X29" s="19" t="str">
        <f aca="true">IF(W29="","",W29-TODAY())</f>
        <v/>
      </c>
    </row>
    <row r="30" customFormat="false" ht="15" hidden="false" customHeight="false" outlineLevel="0" collapsed="false">
      <c r="A30" s="14"/>
      <c r="B30" s="14"/>
      <c r="C30" s="15"/>
      <c r="D30" s="14"/>
      <c r="E30" s="14"/>
      <c r="F30" s="14"/>
      <c r="G30" s="14"/>
      <c r="H30" s="14"/>
      <c r="I30" s="15"/>
      <c r="J30" s="17"/>
      <c r="K30" s="17"/>
      <c r="L30" s="18"/>
      <c r="M30" s="18"/>
      <c r="N30" s="18"/>
      <c r="O30" s="18"/>
      <c r="P30" s="18"/>
      <c r="Q30" s="18"/>
      <c r="R30" s="18"/>
      <c r="S30" s="14"/>
      <c r="T30" s="15"/>
      <c r="U30" s="18" t="str">
        <f aca="false">IFERROR(IF(maxifs('Production Log'!A:A,'Production Log'!B:B,A30,'Production Log'!C:C,"Production")=0,IF(maxifs('Production Log'!A:A,'Production Log'!B:B,A30)=0,"",maxifs('Production Log'!A:A,'Production Log'!B:B,A30)),maxifs('Production Log'!A:A,'Production Log'!B:B,A30,'Production Log'!C:C,"Production")),"")</f>
        <v/>
      </c>
      <c r="V30" s="15"/>
      <c r="W30" s="18" t="str">
        <f aca="false">IF(E30="Completed","",IF(MIN(O30,Q30,R30)=0,"",MIN(O30,Q30,R30)))</f>
        <v/>
      </c>
      <c r="X30" s="19" t="str">
        <f aca="true">IF(W30="","",W30-TODAY())</f>
        <v/>
      </c>
    </row>
    <row r="31" customFormat="false" ht="15" hidden="false" customHeight="false" outlineLevel="0" collapsed="false">
      <c r="A31" s="14"/>
      <c r="B31" s="14"/>
      <c r="C31" s="15"/>
      <c r="D31" s="14"/>
      <c r="E31" s="14"/>
      <c r="F31" s="14"/>
      <c r="G31" s="14"/>
      <c r="H31" s="14"/>
      <c r="I31" s="15"/>
      <c r="J31" s="17"/>
      <c r="K31" s="17"/>
      <c r="L31" s="18"/>
      <c r="M31" s="18"/>
      <c r="N31" s="18"/>
      <c r="O31" s="18"/>
      <c r="P31" s="18"/>
      <c r="Q31" s="18"/>
      <c r="R31" s="18"/>
      <c r="S31" s="14"/>
      <c r="T31" s="15"/>
      <c r="U31" s="18" t="str">
        <f aca="false">IFERROR(IF(maxifs('Production Log'!A:A,'Production Log'!B:B,A31,'Production Log'!C:C,"Production")=0,IF(maxifs('Production Log'!A:A,'Production Log'!B:B,A31)=0,"",maxifs('Production Log'!A:A,'Production Log'!B:B,A31)),maxifs('Production Log'!A:A,'Production Log'!B:B,A31,'Production Log'!C:C,"Production")),"")</f>
        <v/>
      </c>
      <c r="V31" s="15"/>
      <c r="W31" s="18" t="str">
        <f aca="false">IF(E31="Completed","",IF(MIN(O31,Q31,R31)=0,"",MIN(O31,Q31,R31)))</f>
        <v/>
      </c>
      <c r="X31" s="19" t="str">
        <f aca="true">IF(W31="","",W31-TODAY())</f>
        <v/>
      </c>
    </row>
    <row r="32" customFormat="false" ht="15" hidden="false" customHeight="false" outlineLevel="0" collapsed="false">
      <c r="A32" s="14"/>
      <c r="B32" s="14"/>
      <c r="C32" s="15"/>
      <c r="D32" s="14"/>
      <c r="E32" s="14"/>
      <c r="F32" s="14"/>
      <c r="G32" s="14"/>
      <c r="H32" s="14"/>
      <c r="I32" s="15"/>
      <c r="J32" s="17"/>
      <c r="K32" s="17"/>
      <c r="L32" s="18"/>
      <c r="M32" s="18"/>
      <c r="N32" s="18"/>
      <c r="O32" s="18"/>
      <c r="P32" s="18"/>
      <c r="Q32" s="18"/>
      <c r="R32" s="18"/>
      <c r="S32" s="14"/>
      <c r="T32" s="15"/>
      <c r="U32" s="18" t="str">
        <f aca="false">IFERROR(IF(maxifs('Production Log'!A:A,'Production Log'!B:B,A32,'Production Log'!C:C,"Production")=0,IF(maxifs('Production Log'!A:A,'Production Log'!B:B,A32)=0,"",maxifs('Production Log'!A:A,'Production Log'!B:B,A32)),maxifs('Production Log'!A:A,'Production Log'!B:B,A32,'Production Log'!C:C,"Production")),"")</f>
        <v/>
      </c>
      <c r="V32" s="15"/>
      <c r="W32" s="18" t="str">
        <f aca="false">IF(E32="Completed","",IF(MIN(O32,Q32,R32)=0,"",MIN(O32,Q32,R32)))</f>
        <v/>
      </c>
      <c r="X32" s="19" t="str">
        <f aca="true">IF(W32="","",W32-TODAY())</f>
        <v/>
      </c>
    </row>
    <row r="33" customFormat="false" ht="15" hidden="false" customHeight="false" outlineLevel="0" collapsed="false">
      <c r="A33" s="14"/>
      <c r="B33" s="14"/>
      <c r="C33" s="15"/>
      <c r="D33" s="14"/>
      <c r="E33" s="14"/>
      <c r="F33" s="14"/>
      <c r="G33" s="14"/>
      <c r="H33" s="14"/>
      <c r="I33" s="15"/>
      <c r="J33" s="17"/>
      <c r="K33" s="17"/>
      <c r="L33" s="18"/>
      <c r="M33" s="18"/>
      <c r="N33" s="18"/>
      <c r="O33" s="18"/>
      <c r="P33" s="18"/>
      <c r="Q33" s="18"/>
      <c r="R33" s="18"/>
      <c r="S33" s="14"/>
      <c r="T33" s="15"/>
      <c r="U33" s="18" t="str">
        <f aca="false">IFERROR(IF(maxifs('Production Log'!A:A,'Production Log'!B:B,A33,'Production Log'!C:C,"Production")=0,IF(maxifs('Production Log'!A:A,'Production Log'!B:B,A33)=0,"",maxifs('Production Log'!A:A,'Production Log'!B:B,A33)),maxifs('Production Log'!A:A,'Production Log'!B:B,A33,'Production Log'!C:C,"Production")),"")</f>
        <v/>
      </c>
      <c r="V33" s="15"/>
      <c r="W33" s="18" t="str">
        <f aca="false">IF(E33="Completed","",IF(MIN(O33,Q33,R33)=0,"",MIN(O33,Q33,R33)))</f>
        <v/>
      </c>
      <c r="X33" s="19" t="str">
        <f aca="true">IF(W33="","",W33-TODAY())</f>
        <v/>
      </c>
    </row>
    <row r="34" customFormat="false" ht="15" hidden="false" customHeight="false" outlineLevel="0" collapsed="false">
      <c r="A34" s="14"/>
      <c r="B34" s="14"/>
      <c r="C34" s="15"/>
      <c r="D34" s="14"/>
      <c r="E34" s="14"/>
      <c r="F34" s="14"/>
      <c r="G34" s="14"/>
      <c r="H34" s="14"/>
      <c r="I34" s="15"/>
      <c r="J34" s="17"/>
      <c r="K34" s="17"/>
      <c r="L34" s="18"/>
      <c r="M34" s="18"/>
      <c r="N34" s="18"/>
      <c r="O34" s="18"/>
      <c r="P34" s="18"/>
      <c r="Q34" s="18"/>
      <c r="R34" s="18"/>
      <c r="S34" s="14"/>
      <c r="T34" s="15"/>
      <c r="U34" s="18" t="str">
        <f aca="false">IFERROR(IF(maxifs('Production Log'!A:A,'Production Log'!B:B,A34,'Production Log'!C:C,"Production")=0,IF(maxifs('Production Log'!A:A,'Production Log'!B:B,A34)=0,"",maxifs('Production Log'!A:A,'Production Log'!B:B,A34)),maxifs('Production Log'!A:A,'Production Log'!B:B,A34,'Production Log'!C:C,"Production")),"")</f>
        <v/>
      </c>
      <c r="V34" s="15"/>
      <c r="W34" s="18" t="str">
        <f aca="false">IF(E34="Completed","",IF(MIN(O34,Q34,R34)=0,"",MIN(O34,Q34,R34)))</f>
        <v/>
      </c>
      <c r="X34" s="19" t="str">
        <f aca="true">IF(W34="","",W34-TODAY())</f>
        <v/>
      </c>
    </row>
    <row r="35" customFormat="false" ht="15" hidden="false" customHeight="false" outlineLevel="0" collapsed="false">
      <c r="A35" s="14"/>
      <c r="B35" s="14"/>
      <c r="C35" s="15"/>
      <c r="D35" s="14"/>
      <c r="E35" s="14"/>
      <c r="F35" s="14"/>
      <c r="G35" s="14"/>
      <c r="H35" s="14"/>
      <c r="I35" s="15"/>
      <c r="J35" s="17"/>
      <c r="K35" s="17"/>
      <c r="L35" s="18"/>
      <c r="M35" s="18"/>
      <c r="N35" s="18"/>
      <c r="O35" s="18"/>
      <c r="P35" s="18"/>
      <c r="Q35" s="18"/>
      <c r="R35" s="18"/>
      <c r="S35" s="14"/>
      <c r="T35" s="15"/>
      <c r="U35" s="18" t="str">
        <f aca="false">IFERROR(IF(maxifs('Production Log'!A:A,'Production Log'!B:B,A35,'Production Log'!C:C,"Production")=0,IF(maxifs('Production Log'!A:A,'Production Log'!B:B,A35)=0,"",maxifs('Production Log'!A:A,'Production Log'!B:B,A35)),maxifs('Production Log'!A:A,'Production Log'!B:B,A35,'Production Log'!C:C,"Production")),"")</f>
        <v/>
      </c>
      <c r="V35" s="15"/>
      <c r="W35" s="18" t="str">
        <f aca="false">IF(E35="Completed","",IF(MIN(O35,Q35,R35)=0,"",MIN(O35,Q35,R35)))</f>
        <v/>
      </c>
      <c r="X35" s="19" t="str">
        <f aca="true">IF(W35="","",W35-TODAY())</f>
        <v/>
      </c>
    </row>
    <row r="36" customFormat="false" ht="15" hidden="false" customHeight="false" outlineLevel="0" collapsed="false">
      <c r="A36" s="14"/>
      <c r="B36" s="14"/>
      <c r="C36" s="15"/>
      <c r="D36" s="14"/>
      <c r="E36" s="14"/>
      <c r="F36" s="14"/>
      <c r="G36" s="14"/>
      <c r="H36" s="14"/>
      <c r="I36" s="15"/>
      <c r="J36" s="17"/>
      <c r="K36" s="17"/>
      <c r="L36" s="18"/>
      <c r="M36" s="18"/>
      <c r="N36" s="18"/>
      <c r="O36" s="18"/>
      <c r="P36" s="18"/>
      <c r="Q36" s="18"/>
      <c r="R36" s="18"/>
      <c r="S36" s="14"/>
      <c r="T36" s="15"/>
      <c r="U36" s="18" t="str">
        <f aca="false">IFERROR(IF(maxifs('Production Log'!A:A,'Production Log'!B:B,A36,'Production Log'!C:C,"Production")=0,IF(maxifs('Production Log'!A:A,'Production Log'!B:B,A36)=0,"",maxifs('Production Log'!A:A,'Production Log'!B:B,A36)),maxifs('Production Log'!A:A,'Production Log'!B:B,A36,'Production Log'!C:C,"Production")),"")</f>
        <v/>
      </c>
      <c r="V36" s="15"/>
      <c r="W36" s="18" t="str">
        <f aca="false">IF(E36="Completed","",IF(MIN(O36,Q36,R36)=0,"",MIN(O36,Q36,R36)))</f>
        <v/>
      </c>
      <c r="X36" s="19" t="str">
        <f aca="true">IF(W36="","",W36-TODAY())</f>
        <v/>
      </c>
    </row>
    <row r="37" customFormat="false" ht="15" hidden="false" customHeight="false" outlineLevel="0" collapsed="false">
      <c r="A37" s="14"/>
      <c r="B37" s="14"/>
      <c r="C37" s="15"/>
      <c r="D37" s="14"/>
      <c r="E37" s="14"/>
      <c r="F37" s="14"/>
      <c r="G37" s="14"/>
      <c r="H37" s="14"/>
      <c r="I37" s="15"/>
      <c r="J37" s="17"/>
      <c r="K37" s="17"/>
      <c r="L37" s="18"/>
      <c r="M37" s="18"/>
      <c r="N37" s="18"/>
      <c r="O37" s="18"/>
      <c r="P37" s="18"/>
      <c r="Q37" s="18"/>
      <c r="R37" s="18"/>
      <c r="S37" s="14"/>
      <c r="T37" s="15"/>
      <c r="U37" s="18" t="str">
        <f aca="false">IFERROR(IF(maxifs('Production Log'!A:A,'Production Log'!B:B,A37,'Production Log'!C:C,"Production")=0,IF(maxifs('Production Log'!A:A,'Production Log'!B:B,A37)=0,"",maxifs('Production Log'!A:A,'Production Log'!B:B,A37)),maxifs('Production Log'!A:A,'Production Log'!B:B,A37,'Production Log'!C:C,"Production")),"")</f>
        <v/>
      </c>
      <c r="V37" s="15"/>
      <c r="W37" s="18" t="str">
        <f aca="false">IF(E37="Completed","",IF(MIN(O37,Q37,R37)=0,"",MIN(O37,Q37,R37)))</f>
        <v/>
      </c>
      <c r="X37" s="19" t="str">
        <f aca="true">IF(W37="","",W37-TODAY())</f>
        <v/>
      </c>
    </row>
    <row r="38" customFormat="false" ht="15" hidden="false" customHeight="false" outlineLevel="0" collapsed="false">
      <c r="A38" s="14"/>
      <c r="B38" s="14"/>
      <c r="C38" s="15"/>
      <c r="D38" s="14"/>
      <c r="E38" s="14"/>
      <c r="F38" s="14"/>
      <c r="G38" s="14"/>
      <c r="H38" s="14"/>
      <c r="I38" s="15"/>
      <c r="J38" s="17"/>
      <c r="K38" s="17"/>
      <c r="L38" s="18"/>
      <c r="M38" s="18"/>
      <c r="N38" s="18"/>
      <c r="O38" s="18"/>
      <c r="P38" s="18"/>
      <c r="Q38" s="18"/>
      <c r="R38" s="18"/>
      <c r="S38" s="14"/>
      <c r="T38" s="15"/>
      <c r="U38" s="18" t="str">
        <f aca="false">IFERROR(IF(maxifs('Production Log'!A:A,'Production Log'!B:B,A38,'Production Log'!C:C,"Production")=0,IF(maxifs('Production Log'!A:A,'Production Log'!B:B,A38)=0,"",maxifs('Production Log'!A:A,'Production Log'!B:B,A38)),maxifs('Production Log'!A:A,'Production Log'!B:B,A38,'Production Log'!C:C,"Production")),"")</f>
        <v/>
      </c>
      <c r="V38" s="15"/>
      <c r="W38" s="18" t="str">
        <f aca="false">IF(E38="Completed","",IF(MIN(O38,Q38,R38)=0,"",MIN(O38,Q38,R38)))</f>
        <v/>
      </c>
      <c r="X38" s="19" t="str">
        <f aca="true">IF(W38="","",W38-TODAY())</f>
        <v/>
      </c>
    </row>
    <row r="39" customFormat="false" ht="15" hidden="false" customHeight="false" outlineLevel="0" collapsed="false">
      <c r="A39" s="14"/>
      <c r="B39" s="14"/>
      <c r="C39" s="15"/>
      <c r="D39" s="14"/>
      <c r="E39" s="14"/>
      <c r="F39" s="14"/>
      <c r="G39" s="14"/>
      <c r="H39" s="14"/>
      <c r="I39" s="15"/>
      <c r="J39" s="17"/>
      <c r="K39" s="17"/>
      <c r="L39" s="18"/>
      <c r="M39" s="18"/>
      <c r="N39" s="18"/>
      <c r="O39" s="18"/>
      <c r="P39" s="18"/>
      <c r="Q39" s="18"/>
      <c r="R39" s="18"/>
      <c r="S39" s="14"/>
      <c r="T39" s="15"/>
      <c r="U39" s="18" t="str">
        <f aca="false">IFERROR(IF(maxifs('Production Log'!A:A,'Production Log'!B:B,A39,'Production Log'!C:C,"Production")=0,IF(maxifs('Production Log'!A:A,'Production Log'!B:B,A39)=0,"",maxifs('Production Log'!A:A,'Production Log'!B:B,A39)),maxifs('Production Log'!A:A,'Production Log'!B:B,A39,'Production Log'!C:C,"Production")),"")</f>
        <v/>
      </c>
      <c r="V39" s="15"/>
      <c r="W39" s="18" t="str">
        <f aca="false">IF(E39="Completed","",IF(MIN(O39,Q39,R39)=0,"",MIN(O39,Q39,R39)))</f>
        <v/>
      </c>
      <c r="X39" s="19" t="str">
        <f aca="true">IF(W39="","",W39-TODAY())</f>
        <v/>
      </c>
    </row>
    <row r="40" customFormat="false" ht="15" hidden="false" customHeight="false" outlineLevel="0" collapsed="false">
      <c r="A40" s="14"/>
      <c r="B40" s="14"/>
      <c r="C40" s="15"/>
      <c r="D40" s="14"/>
      <c r="E40" s="14"/>
      <c r="F40" s="14"/>
      <c r="G40" s="14"/>
      <c r="H40" s="14"/>
      <c r="I40" s="15"/>
      <c r="J40" s="17"/>
      <c r="K40" s="17"/>
      <c r="L40" s="18"/>
      <c r="M40" s="18"/>
      <c r="N40" s="18"/>
      <c r="O40" s="18"/>
      <c r="P40" s="18"/>
      <c r="Q40" s="18"/>
      <c r="R40" s="18"/>
      <c r="S40" s="14"/>
      <c r="T40" s="15"/>
      <c r="U40" s="18" t="str">
        <f aca="false">IFERROR(IF(maxifs('Production Log'!A:A,'Production Log'!B:B,A40,'Production Log'!C:C,"Production")=0,IF(maxifs('Production Log'!A:A,'Production Log'!B:B,A40)=0,"",maxifs('Production Log'!A:A,'Production Log'!B:B,A40)),maxifs('Production Log'!A:A,'Production Log'!B:B,A40,'Production Log'!C:C,"Production")),"")</f>
        <v/>
      </c>
      <c r="V40" s="15"/>
      <c r="W40" s="18" t="str">
        <f aca="false">IF(E40="Completed","",IF(MIN(O40,Q40,R40)=0,"",MIN(O40,Q40,R40)))</f>
        <v/>
      </c>
      <c r="X40" s="19" t="str">
        <f aca="true">IF(W40="","",W40-TODAY())</f>
        <v/>
      </c>
    </row>
    <row r="41" customFormat="false" ht="15" hidden="false" customHeight="false" outlineLevel="0" collapsed="false">
      <c r="A41" s="14"/>
      <c r="B41" s="14"/>
      <c r="C41" s="15"/>
      <c r="D41" s="14"/>
      <c r="E41" s="14"/>
      <c r="F41" s="14"/>
      <c r="G41" s="14"/>
      <c r="H41" s="14"/>
      <c r="I41" s="15"/>
      <c r="J41" s="17"/>
      <c r="K41" s="17"/>
      <c r="L41" s="18"/>
      <c r="M41" s="18"/>
      <c r="N41" s="18"/>
      <c r="O41" s="18"/>
      <c r="P41" s="18"/>
      <c r="Q41" s="18"/>
      <c r="R41" s="18"/>
      <c r="S41" s="14"/>
      <c r="T41" s="15"/>
      <c r="U41" s="18" t="str">
        <f aca="false">IFERROR(IF(maxifs('Production Log'!A:A,'Production Log'!B:B,A41,'Production Log'!C:C,"Production")=0,IF(maxifs('Production Log'!A:A,'Production Log'!B:B,A41)=0,"",maxifs('Production Log'!A:A,'Production Log'!B:B,A41)),maxifs('Production Log'!A:A,'Production Log'!B:B,A41,'Production Log'!C:C,"Production")),"")</f>
        <v/>
      </c>
      <c r="V41" s="15"/>
      <c r="W41" s="18" t="str">
        <f aca="false">IF(E41="Completed","",IF(MIN(O41,Q41,R41)=0,"",MIN(O41,Q41,R41)))</f>
        <v/>
      </c>
      <c r="X41" s="19" t="str">
        <f aca="true">IF(W41="","",W41-TODAY())</f>
        <v/>
      </c>
    </row>
    <row r="42" customFormat="false" ht="15" hidden="false" customHeight="false" outlineLevel="0" collapsed="false">
      <c r="A42" s="14"/>
      <c r="B42" s="14"/>
      <c r="C42" s="15"/>
      <c r="D42" s="14"/>
      <c r="E42" s="14"/>
      <c r="F42" s="14"/>
      <c r="G42" s="14"/>
      <c r="H42" s="14"/>
      <c r="I42" s="15"/>
      <c r="J42" s="17"/>
      <c r="K42" s="17"/>
      <c r="L42" s="18"/>
      <c r="M42" s="18"/>
      <c r="N42" s="18"/>
      <c r="O42" s="18"/>
      <c r="P42" s="18"/>
      <c r="Q42" s="18"/>
      <c r="R42" s="18"/>
      <c r="S42" s="14"/>
      <c r="T42" s="15"/>
      <c r="U42" s="18" t="str">
        <f aca="false">IFERROR(IF(maxifs('Production Log'!A:A,'Production Log'!B:B,A42,'Production Log'!C:C,"Production")=0,IF(maxifs('Production Log'!A:A,'Production Log'!B:B,A42)=0,"",maxifs('Production Log'!A:A,'Production Log'!B:B,A42)),maxifs('Production Log'!A:A,'Production Log'!B:B,A42,'Production Log'!C:C,"Production")),"")</f>
        <v/>
      </c>
      <c r="V42" s="15"/>
      <c r="W42" s="18" t="str">
        <f aca="false">IF(E42="Completed","",IF(MIN(O42,Q42,R42)=0,"",MIN(O42,Q42,R42)))</f>
        <v/>
      </c>
      <c r="X42" s="19" t="str">
        <f aca="true">IF(W42="","",W42-TODAY())</f>
        <v/>
      </c>
    </row>
    <row r="43" customFormat="false" ht="15" hidden="false" customHeight="false" outlineLevel="0" collapsed="false">
      <c r="A43" s="14"/>
      <c r="B43" s="14"/>
      <c r="C43" s="15"/>
      <c r="D43" s="14"/>
      <c r="E43" s="14"/>
      <c r="F43" s="14"/>
      <c r="G43" s="14"/>
      <c r="H43" s="14"/>
      <c r="I43" s="15"/>
      <c r="J43" s="17"/>
      <c r="K43" s="17"/>
      <c r="L43" s="18"/>
      <c r="M43" s="18"/>
      <c r="N43" s="18"/>
      <c r="O43" s="18"/>
      <c r="P43" s="18"/>
      <c r="Q43" s="18"/>
      <c r="R43" s="18"/>
      <c r="S43" s="14"/>
      <c r="T43" s="15"/>
      <c r="U43" s="18" t="str">
        <f aca="false">IFERROR(IF(maxifs('Production Log'!A:A,'Production Log'!B:B,A43,'Production Log'!C:C,"Production")=0,IF(maxifs('Production Log'!A:A,'Production Log'!B:B,A43)=0,"",maxifs('Production Log'!A:A,'Production Log'!B:B,A43)),maxifs('Production Log'!A:A,'Production Log'!B:B,A43,'Production Log'!C:C,"Production")),"")</f>
        <v/>
      </c>
      <c r="V43" s="15"/>
      <c r="W43" s="18" t="str">
        <f aca="false">IF(E43="Completed","",IF(MIN(O43,Q43,R43)=0,"",MIN(O43,Q43,R43)))</f>
        <v/>
      </c>
      <c r="X43" s="19" t="str">
        <f aca="true">IF(W43="","",W43-TODAY())</f>
        <v/>
      </c>
    </row>
    <row r="44" customFormat="false" ht="15" hidden="false" customHeight="false" outlineLevel="0" collapsed="false">
      <c r="A44" s="14"/>
      <c r="B44" s="14"/>
      <c r="C44" s="15"/>
      <c r="D44" s="14"/>
      <c r="E44" s="14"/>
      <c r="F44" s="14"/>
      <c r="G44" s="14"/>
      <c r="H44" s="14"/>
      <c r="I44" s="15"/>
      <c r="J44" s="17"/>
      <c r="K44" s="17"/>
      <c r="L44" s="18"/>
      <c r="M44" s="18"/>
      <c r="N44" s="18"/>
      <c r="O44" s="18"/>
      <c r="P44" s="18"/>
      <c r="Q44" s="18"/>
      <c r="R44" s="18"/>
      <c r="S44" s="14"/>
      <c r="T44" s="15"/>
      <c r="U44" s="18" t="str">
        <f aca="false">IFERROR(IF(maxifs('Production Log'!A:A,'Production Log'!B:B,A44,'Production Log'!C:C,"Production")=0,IF(maxifs('Production Log'!A:A,'Production Log'!B:B,A44)=0,"",maxifs('Production Log'!A:A,'Production Log'!B:B,A44)),maxifs('Production Log'!A:A,'Production Log'!B:B,A44,'Production Log'!C:C,"Production")),"")</f>
        <v/>
      </c>
      <c r="V44" s="15"/>
      <c r="W44" s="18" t="str">
        <f aca="false">IF(E44="Completed","",IF(MIN(O44,Q44,R44)=0,"",MIN(O44,Q44,R44)))</f>
        <v/>
      </c>
      <c r="X44" s="19" t="str">
        <f aca="true">IF(W44="","",W44-TODAY())</f>
        <v/>
      </c>
    </row>
    <row r="45" customFormat="false" ht="15" hidden="false" customHeight="false" outlineLevel="0" collapsed="false">
      <c r="A45" s="14"/>
      <c r="B45" s="14"/>
      <c r="C45" s="15"/>
      <c r="D45" s="14"/>
      <c r="E45" s="14"/>
      <c r="F45" s="14"/>
      <c r="G45" s="14"/>
      <c r="H45" s="14"/>
      <c r="I45" s="15"/>
      <c r="J45" s="17"/>
      <c r="K45" s="17"/>
      <c r="L45" s="18"/>
      <c r="M45" s="18"/>
      <c r="N45" s="18"/>
      <c r="O45" s="18"/>
      <c r="P45" s="18"/>
      <c r="Q45" s="18"/>
      <c r="R45" s="18"/>
      <c r="S45" s="14"/>
      <c r="T45" s="15"/>
      <c r="U45" s="18" t="str">
        <f aca="false">IFERROR(IF(maxifs('Production Log'!A:A,'Production Log'!B:B,A45,'Production Log'!C:C,"Production")=0,IF(maxifs('Production Log'!A:A,'Production Log'!B:B,A45)=0,"",maxifs('Production Log'!A:A,'Production Log'!B:B,A45)),maxifs('Production Log'!A:A,'Production Log'!B:B,A45,'Production Log'!C:C,"Production")),"")</f>
        <v/>
      </c>
      <c r="V45" s="15"/>
      <c r="W45" s="18" t="str">
        <f aca="false">IF(E45="Completed","",IF(MIN(O45,Q45,R45)=0,"",MIN(O45,Q45,R45)))</f>
        <v/>
      </c>
      <c r="X45" s="19" t="str">
        <f aca="true">IF(W45="","",W45-TODAY())</f>
        <v/>
      </c>
    </row>
    <row r="46" customFormat="false" ht="15" hidden="false" customHeight="false" outlineLevel="0" collapsed="false">
      <c r="A46" s="14"/>
      <c r="B46" s="14"/>
      <c r="C46" s="15"/>
      <c r="D46" s="14"/>
      <c r="E46" s="14"/>
      <c r="F46" s="14"/>
      <c r="G46" s="14"/>
      <c r="H46" s="14"/>
      <c r="I46" s="15"/>
      <c r="J46" s="17"/>
      <c r="K46" s="17"/>
      <c r="L46" s="18"/>
      <c r="M46" s="18"/>
      <c r="N46" s="18"/>
      <c r="O46" s="18"/>
      <c r="P46" s="18"/>
      <c r="Q46" s="18"/>
      <c r="R46" s="18"/>
      <c r="S46" s="14"/>
      <c r="T46" s="15"/>
      <c r="U46" s="18" t="str">
        <f aca="false">IFERROR(IF(maxifs('Production Log'!A:A,'Production Log'!B:B,A46,'Production Log'!C:C,"Production")=0,IF(maxifs('Production Log'!A:A,'Production Log'!B:B,A46)=0,"",maxifs('Production Log'!A:A,'Production Log'!B:B,A46)),maxifs('Production Log'!A:A,'Production Log'!B:B,A46,'Production Log'!C:C,"Production")),"")</f>
        <v/>
      </c>
      <c r="V46" s="15"/>
      <c r="W46" s="18" t="str">
        <f aca="false">IF(E46="Completed","",IF(MIN(O46,Q46,R46)=0,"",MIN(O46,Q46,R46)))</f>
        <v/>
      </c>
      <c r="X46" s="19" t="str">
        <f aca="true">IF(W46="","",W46-TODAY())</f>
        <v/>
      </c>
    </row>
    <row r="47" customFormat="false" ht="15" hidden="false" customHeight="false" outlineLevel="0" collapsed="false">
      <c r="A47" s="14"/>
      <c r="B47" s="14"/>
      <c r="C47" s="15"/>
      <c r="D47" s="14"/>
      <c r="E47" s="14"/>
      <c r="F47" s="14"/>
      <c r="G47" s="14"/>
      <c r="H47" s="14"/>
      <c r="I47" s="15"/>
      <c r="J47" s="17"/>
      <c r="K47" s="17"/>
      <c r="L47" s="18"/>
      <c r="M47" s="18"/>
      <c r="N47" s="18"/>
      <c r="O47" s="18"/>
      <c r="P47" s="18"/>
      <c r="Q47" s="18"/>
      <c r="R47" s="18"/>
      <c r="S47" s="14"/>
      <c r="T47" s="15"/>
      <c r="U47" s="18" t="str">
        <f aca="false">IFERROR(IF(maxifs('Production Log'!A:A,'Production Log'!B:B,A47,'Production Log'!C:C,"Production")=0,IF(maxifs('Production Log'!A:A,'Production Log'!B:B,A47)=0,"",maxifs('Production Log'!A:A,'Production Log'!B:B,A47)),maxifs('Production Log'!A:A,'Production Log'!B:B,A47,'Production Log'!C:C,"Production")),"")</f>
        <v/>
      </c>
      <c r="V47" s="15"/>
      <c r="W47" s="18" t="str">
        <f aca="false">IF(E47="Completed","",IF(MIN(O47,Q47,R47)=0,"",MIN(O47,Q47,R47)))</f>
        <v/>
      </c>
      <c r="X47" s="19" t="str">
        <f aca="true">IF(W47="","",W47-TODAY())</f>
        <v/>
      </c>
    </row>
    <row r="48" customFormat="false" ht="15" hidden="false" customHeight="false" outlineLevel="0" collapsed="false">
      <c r="A48" s="14"/>
      <c r="B48" s="14"/>
      <c r="C48" s="15"/>
      <c r="D48" s="14"/>
      <c r="E48" s="14"/>
      <c r="F48" s="14"/>
      <c r="G48" s="14"/>
      <c r="H48" s="14"/>
      <c r="I48" s="15"/>
      <c r="J48" s="17"/>
      <c r="K48" s="17"/>
      <c r="L48" s="18"/>
      <c r="M48" s="18"/>
      <c r="N48" s="18"/>
      <c r="O48" s="18"/>
      <c r="P48" s="18"/>
      <c r="Q48" s="18"/>
      <c r="R48" s="18"/>
      <c r="S48" s="14"/>
      <c r="T48" s="15"/>
      <c r="U48" s="18" t="str">
        <f aca="false">IFERROR(IF(maxifs('Production Log'!A:A,'Production Log'!B:B,A48,'Production Log'!C:C,"Production")=0,IF(maxifs('Production Log'!A:A,'Production Log'!B:B,A48)=0,"",maxifs('Production Log'!A:A,'Production Log'!B:B,A48)),maxifs('Production Log'!A:A,'Production Log'!B:B,A48,'Production Log'!C:C,"Production")),"")</f>
        <v/>
      </c>
      <c r="V48" s="15"/>
      <c r="W48" s="18" t="str">
        <f aca="false">IF(E48="Completed","",IF(MIN(O48,Q48,R48)=0,"",MIN(O48,Q48,R48)))</f>
        <v/>
      </c>
      <c r="X48" s="19" t="str">
        <f aca="true">IF(W48="","",W48-TODAY())</f>
        <v/>
      </c>
    </row>
    <row r="49" customFormat="false" ht="15" hidden="false" customHeight="false" outlineLevel="0" collapsed="false">
      <c r="A49" s="14"/>
      <c r="B49" s="14"/>
      <c r="C49" s="15"/>
      <c r="D49" s="14"/>
      <c r="E49" s="14"/>
      <c r="F49" s="14"/>
      <c r="G49" s="14"/>
      <c r="H49" s="14"/>
      <c r="I49" s="15"/>
      <c r="J49" s="17"/>
      <c r="K49" s="17"/>
      <c r="L49" s="18"/>
      <c r="M49" s="18"/>
      <c r="N49" s="18"/>
      <c r="O49" s="18"/>
      <c r="P49" s="18"/>
      <c r="Q49" s="18"/>
      <c r="R49" s="18"/>
      <c r="S49" s="14"/>
      <c r="T49" s="15"/>
      <c r="U49" s="18" t="str">
        <f aca="false">IFERROR(IF(maxifs('Production Log'!A:A,'Production Log'!B:B,A49,'Production Log'!C:C,"Production")=0,IF(maxifs('Production Log'!A:A,'Production Log'!B:B,A49)=0,"",maxifs('Production Log'!A:A,'Production Log'!B:B,A49)),maxifs('Production Log'!A:A,'Production Log'!B:B,A49,'Production Log'!C:C,"Production")),"")</f>
        <v/>
      </c>
      <c r="V49" s="15"/>
      <c r="W49" s="18" t="str">
        <f aca="false">IF(E49="Completed","",IF(MIN(O49,Q49,R49)=0,"",MIN(O49,Q49,R49)))</f>
        <v/>
      </c>
      <c r="X49" s="19" t="str">
        <f aca="true">IF(W49="","",W49-TODAY())</f>
        <v/>
      </c>
    </row>
    <row r="50" customFormat="false" ht="15" hidden="false" customHeight="false" outlineLevel="0" collapsed="false">
      <c r="A50" s="14"/>
      <c r="B50" s="14"/>
      <c r="C50" s="15"/>
      <c r="D50" s="14"/>
      <c r="E50" s="14"/>
      <c r="F50" s="14"/>
      <c r="G50" s="14"/>
      <c r="H50" s="14"/>
      <c r="I50" s="15"/>
      <c r="J50" s="17"/>
      <c r="K50" s="17"/>
      <c r="L50" s="18"/>
      <c r="M50" s="18"/>
      <c r="N50" s="18"/>
      <c r="O50" s="18"/>
      <c r="P50" s="18"/>
      <c r="Q50" s="18"/>
      <c r="R50" s="18"/>
      <c r="S50" s="14"/>
      <c r="T50" s="15"/>
      <c r="U50" s="18" t="str">
        <f aca="false">IFERROR(IF(maxifs('Production Log'!A:A,'Production Log'!B:B,A50,'Production Log'!C:C,"Production")=0,IF(maxifs('Production Log'!A:A,'Production Log'!B:B,A50)=0,"",maxifs('Production Log'!A:A,'Production Log'!B:B,A50)),maxifs('Production Log'!A:A,'Production Log'!B:B,A50,'Production Log'!C:C,"Production")),"")</f>
        <v/>
      </c>
      <c r="V50" s="15"/>
      <c r="W50" s="18" t="str">
        <f aca="false">IF(E50="Completed","",IF(MIN(O50,Q50,R50)=0,"",MIN(O50,Q50,R50)))</f>
        <v/>
      </c>
      <c r="X50" s="19" t="str">
        <f aca="true">IF(W50="","",W50-TODAY())</f>
        <v/>
      </c>
    </row>
    <row r="51" customFormat="false" ht="15" hidden="false" customHeight="false" outlineLevel="0" collapsed="false">
      <c r="A51" s="14"/>
      <c r="B51" s="14"/>
      <c r="C51" s="15"/>
      <c r="D51" s="14"/>
      <c r="E51" s="14"/>
      <c r="F51" s="14"/>
      <c r="G51" s="14"/>
      <c r="H51" s="14"/>
      <c r="I51" s="15"/>
      <c r="J51" s="17"/>
      <c r="K51" s="17"/>
      <c r="L51" s="18"/>
      <c r="M51" s="18"/>
      <c r="N51" s="18"/>
      <c r="O51" s="18"/>
      <c r="P51" s="18"/>
      <c r="Q51" s="18"/>
      <c r="R51" s="18"/>
      <c r="S51" s="14"/>
      <c r="T51" s="15"/>
      <c r="U51" s="18" t="str">
        <f aca="false">IFERROR(IF(maxifs('Production Log'!A:A,'Production Log'!B:B,A51,'Production Log'!C:C,"Production")=0,IF(maxifs('Production Log'!A:A,'Production Log'!B:B,A51)=0,"",maxifs('Production Log'!A:A,'Production Log'!B:B,A51)),maxifs('Production Log'!A:A,'Production Log'!B:B,A51,'Production Log'!C:C,"Production")),"")</f>
        <v/>
      </c>
      <c r="V51" s="15"/>
      <c r="W51" s="18" t="str">
        <f aca="false">IF(E51="Completed","",IF(MIN(O51,Q51,R51)=0,"",MIN(O51,Q51,R51)))</f>
        <v/>
      </c>
      <c r="X51" s="19" t="str">
        <f aca="true">IF(W51="","",W51-TODAY())</f>
        <v/>
      </c>
    </row>
    <row r="52" customFormat="false" ht="15" hidden="false" customHeight="false" outlineLevel="0" collapsed="false">
      <c r="A52" s="14"/>
      <c r="B52" s="14"/>
      <c r="C52" s="15"/>
      <c r="D52" s="14"/>
      <c r="E52" s="14"/>
      <c r="F52" s="14"/>
      <c r="G52" s="14"/>
      <c r="H52" s="14"/>
      <c r="I52" s="15"/>
      <c r="J52" s="17"/>
      <c r="K52" s="17"/>
      <c r="L52" s="18"/>
      <c r="M52" s="18"/>
      <c r="N52" s="18"/>
      <c r="O52" s="18"/>
      <c r="P52" s="18"/>
      <c r="Q52" s="18"/>
      <c r="R52" s="18"/>
      <c r="S52" s="14"/>
      <c r="T52" s="15"/>
      <c r="U52" s="18" t="str">
        <f aca="false">IFERROR(IF(maxifs('Production Log'!A:A,'Production Log'!B:B,A52,'Production Log'!C:C,"Production")=0,IF(maxifs('Production Log'!A:A,'Production Log'!B:B,A52)=0,"",maxifs('Production Log'!A:A,'Production Log'!B:B,A52)),maxifs('Production Log'!A:A,'Production Log'!B:B,A52,'Production Log'!C:C,"Production")),"")</f>
        <v/>
      </c>
      <c r="V52" s="15"/>
      <c r="W52" s="18" t="str">
        <f aca="false">IF(E52="Completed","",IF(MIN(O52,Q52,R52)=0,"",MIN(O52,Q52,R52)))</f>
        <v/>
      </c>
      <c r="X52" s="19" t="str">
        <f aca="true">IF(W52="","",W52-TODAY())</f>
        <v/>
      </c>
    </row>
    <row r="53" customFormat="false" ht="15" hidden="false" customHeight="false" outlineLevel="0" collapsed="false">
      <c r="A53" s="14"/>
      <c r="B53" s="14"/>
      <c r="C53" s="15"/>
      <c r="D53" s="14"/>
      <c r="E53" s="14"/>
      <c r="F53" s="14"/>
      <c r="G53" s="14"/>
      <c r="H53" s="14"/>
      <c r="I53" s="15"/>
      <c r="J53" s="17"/>
      <c r="K53" s="17"/>
      <c r="L53" s="18"/>
      <c r="M53" s="18"/>
      <c r="N53" s="18"/>
      <c r="O53" s="18"/>
      <c r="P53" s="18"/>
      <c r="Q53" s="18"/>
      <c r="R53" s="18"/>
      <c r="S53" s="14"/>
      <c r="T53" s="15"/>
      <c r="U53" s="18" t="str">
        <f aca="false">IFERROR(IF(maxifs('Production Log'!A:A,'Production Log'!B:B,A53,'Production Log'!C:C,"Production")=0,IF(maxifs('Production Log'!A:A,'Production Log'!B:B,A53)=0,"",maxifs('Production Log'!A:A,'Production Log'!B:B,A53)),maxifs('Production Log'!A:A,'Production Log'!B:B,A53,'Production Log'!C:C,"Production")),"")</f>
        <v/>
      </c>
      <c r="V53" s="15"/>
      <c r="W53" s="18" t="str">
        <f aca="false">IF(E53="Completed","",IF(MIN(O53,Q53,R53)=0,"",MIN(O53,Q53,R53)))</f>
        <v/>
      </c>
      <c r="X53" s="19" t="str">
        <f aca="true">IF(W53="","",W53-TODAY())</f>
        <v/>
      </c>
    </row>
    <row r="54" customFormat="false" ht="15" hidden="false" customHeight="false" outlineLevel="0" collapsed="false">
      <c r="A54" s="14"/>
      <c r="B54" s="14"/>
      <c r="C54" s="15"/>
      <c r="D54" s="14"/>
      <c r="E54" s="14"/>
      <c r="F54" s="14"/>
      <c r="G54" s="14"/>
      <c r="H54" s="14"/>
      <c r="I54" s="15"/>
      <c r="J54" s="17"/>
      <c r="K54" s="17"/>
      <c r="L54" s="18"/>
      <c r="M54" s="18"/>
      <c r="N54" s="18"/>
      <c r="O54" s="18"/>
      <c r="P54" s="18"/>
      <c r="Q54" s="18"/>
      <c r="R54" s="18"/>
      <c r="S54" s="14"/>
      <c r="T54" s="15"/>
      <c r="U54" s="18" t="str">
        <f aca="false">IFERROR(IF(maxifs('Production Log'!A:A,'Production Log'!B:B,A54,'Production Log'!C:C,"Production")=0,IF(maxifs('Production Log'!A:A,'Production Log'!B:B,A54)=0,"",maxifs('Production Log'!A:A,'Production Log'!B:B,A54)),maxifs('Production Log'!A:A,'Production Log'!B:B,A54,'Production Log'!C:C,"Production")),"")</f>
        <v/>
      </c>
      <c r="V54" s="15"/>
      <c r="W54" s="18" t="str">
        <f aca="false">IF(E54="Completed","",IF(MIN(O54,Q54,R54)=0,"",MIN(O54,Q54,R54)))</f>
        <v/>
      </c>
      <c r="X54" s="19" t="str">
        <f aca="true">IF(W54="","",W54-TODAY())</f>
        <v/>
      </c>
    </row>
    <row r="55" customFormat="false" ht="15" hidden="false" customHeight="false" outlineLevel="0" collapsed="false">
      <c r="A55" s="14"/>
      <c r="B55" s="14"/>
      <c r="C55" s="15"/>
      <c r="D55" s="14"/>
      <c r="E55" s="14"/>
      <c r="F55" s="14"/>
      <c r="G55" s="14"/>
      <c r="H55" s="14"/>
      <c r="I55" s="15"/>
      <c r="J55" s="17"/>
      <c r="K55" s="17"/>
      <c r="L55" s="18"/>
      <c r="M55" s="18"/>
      <c r="N55" s="18"/>
      <c r="O55" s="18"/>
      <c r="P55" s="18"/>
      <c r="Q55" s="18"/>
      <c r="R55" s="18"/>
      <c r="S55" s="14"/>
      <c r="T55" s="15"/>
      <c r="U55" s="18" t="str">
        <f aca="false">IFERROR(IF(maxifs('Production Log'!A:A,'Production Log'!B:B,A55,'Production Log'!C:C,"Production")=0,IF(maxifs('Production Log'!A:A,'Production Log'!B:B,A55)=0,"",maxifs('Production Log'!A:A,'Production Log'!B:B,A55)),maxifs('Production Log'!A:A,'Production Log'!B:B,A55,'Production Log'!C:C,"Production")),"")</f>
        <v/>
      </c>
      <c r="V55" s="15"/>
      <c r="W55" s="18" t="str">
        <f aca="false">IF(E55="Completed","",IF(MIN(O55,Q55,R55)=0,"",MIN(O55,Q55,R55)))</f>
        <v/>
      </c>
      <c r="X55" s="19" t="str">
        <f aca="true">IF(W55="","",W55-TODAY())</f>
        <v/>
      </c>
    </row>
    <row r="56" customFormat="false" ht="15" hidden="false" customHeight="false" outlineLevel="0" collapsed="false">
      <c r="A56" s="14"/>
      <c r="B56" s="14"/>
      <c r="C56" s="15"/>
      <c r="D56" s="14"/>
      <c r="E56" s="14"/>
      <c r="F56" s="14"/>
      <c r="G56" s="14"/>
      <c r="H56" s="14"/>
      <c r="I56" s="15"/>
      <c r="J56" s="17"/>
      <c r="K56" s="17"/>
      <c r="L56" s="18"/>
      <c r="M56" s="18"/>
      <c r="N56" s="18"/>
      <c r="O56" s="18"/>
      <c r="P56" s="18"/>
      <c r="Q56" s="18"/>
      <c r="R56" s="18"/>
      <c r="S56" s="14"/>
      <c r="T56" s="15"/>
      <c r="U56" s="18" t="str">
        <f aca="false">IFERROR(IF(maxifs('Production Log'!A:A,'Production Log'!B:B,A56,'Production Log'!C:C,"Production")=0,IF(maxifs('Production Log'!A:A,'Production Log'!B:B,A56)=0,"",maxifs('Production Log'!A:A,'Production Log'!B:B,A56)),maxifs('Production Log'!A:A,'Production Log'!B:B,A56,'Production Log'!C:C,"Production")),"")</f>
        <v/>
      </c>
      <c r="V56" s="15"/>
      <c r="W56" s="18" t="str">
        <f aca="false">IF(E56="Completed","",IF(MIN(O56,Q56,R56)=0,"",MIN(O56,Q56,R56)))</f>
        <v/>
      </c>
      <c r="X56" s="19" t="str">
        <f aca="true">IF(W56="","",W56-TODAY())</f>
        <v/>
      </c>
    </row>
    <row r="57" customFormat="false" ht="15" hidden="false" customHeight="false" outlineLevel="0" collapsed="false">
      <c r="A57" s="14"/>
      <c r="B57" s="14"/>
      <c r="C57" s="15"/>
      <c r="D57" s="14"/>
      <c r="E57" s="14"/>
      <c r="F57" s="14"/>
      <c r="G57" s="14"/>
      <c r="H57" s="14"/>
      <c r="I57" s="15"/>
      <c r="J57" s="17"/>
      <c r="K57" s="17"/>
      <c r="L57" s="18"/>
      <c r="M57" s="18"/>
      <c r="N57" s="18"/>
      <c r="O57" s="18"/>
      <c r="P57" s="18"/>
      <c r="Q57" s="18"/>
      <c r="R57" s="18"/>
      <c r="S57" s="14"/>
      <c r="T57" s="15"/>
      <c r="U57" s="18" t="str">
        <f aca="false">IFERROR(IF(maxifs('Production Log'!A:A,'Production Log'!B:B,A57,'Production Log'!C:C,"Production")=0,IF(maxifs('Production Log'!A:A,'Production Log'!B:B,A57)=0,"",maxifs('Production Log'!A:A,'Production Log'!B:B,A57)),maxifs('Production Log'!A:A,'Production Log'!B:B,A57,'Production Log'!C:C,"Production")),"")</f>
        <v/>
      </c>
      <c r="V57" s="15"/>
      <c r="W57" s="18" t="str">
        <f aca="false">IF(E57="Completed","",IF(MIN(O57,Q57,R57)=0,"",MIN(O57,Q57,R57)))</f>
        <v/>
      </c>
      <c r="X57" s="19" t="str">
        <f aca="true">IF(W57="","",W57-TODAY())</f>
        <v/>
      </c>
    </row>
    <row r="58" customFormat="false" ht="15" hidden="false" customHeight="false" outlineLevel="0" collapsed="false">
      <c r="A58" s="14"/>
      <c r="B58" s="14"/>
      <c r="C58" s="15"/>
      <c r="D58" s="14"/>
      <c r="E58" s="14"/>
      <c r="F58" s="14"/>
      <c r="G58" s="14"/>
      <c r="H58" s="14"/>
      <c r="I58" s="15"/>
      <c r="J58" s="17"/>
      <c r="K58" s="17"/>
      <c r="L58" s="18"/>
      <c r="M58" s="18"/>
      <c r="N58" s="18"/>
      <c r="O58" s="18"/>
      <c r="P58" s="18"/>
      <c r="Q58" s="18"/>
      <c r="R58" s="18"/>
      <c r="S58" s="14"/>
      <c r="T58" s="15"/>
      <c r="U58" s="18" t="str">
        <f aca="false">IFERROR(IF(maxifs('Production Log'!A:A,'Production Log'!B:B,A58,'Production Log'!C:C,"Production")=0,IF(maxifs('Production Log'!A:A,'Production Log'!B:B,A58)=0,"",maxifs('Production Log'!A:A,'Production Log'!B:B,A58)),maxifs('Production Log'!A:A,'Production Log'!B:B,A58,'Production Log'!C:C,"Production")),"")</f>
        <v/>
      </c>
      <c r="V58" s="15"/>
      <c r="W58" s="18" t="str">
        <f aca="false">IF(E58="Completed","",IF(MIN(O58,Q58,R58)=0,"",MIN(O58,Q58,R58)))</f>
        <v/>
      </c>
      <c r="X58" s="19" t="str">
        <f aca="true">IF(W58="","",W58-TODAY())</f>
        <v/>
      </c>
    </row>
    <row r="59" customFormat="false" ht="15" hidden="false" customHeight="false" outlineLevel="0" collapsed="false">
      <c r="A59" s="14"/>
      <c r="B59" s="14"/>
      <c r="C59" s="15"/>
      <c r="D59" s="14"/>
      <c r="E59" s="14"/>
      <c r="F59" s="14"/>
      <c r="G59" s="14"/>
      <c r="H59" s="14"/>
      <c r="I59" s="15"/>
      <c r="J59" s="17"/>
      <c r="K59" s="17"/>
      <c r="L59" s="18"/>
      <c r="M59" s="18"/>
      <c r="N59" s="18"/>
      <c r="O59" s="18"/>
      <c r="P59" s="18"/>
      <c r="Q59" s="18"/>
      <c r="R59" s="18"/>
      <c r="S59" s="14"/>
      <c r="T59" s="15"/>
      <c r="U59" s="18" t="str">
        <f aca="false">IFERROR(IF(maxifs('Production Log'!A:A,'Production Log'!B:B,A59,'Production Log'!C:C,"Production")=0,IF(maxifs('Production Log'!A:A,'Production Log'!B:B,A59)=0,"",maxifs('Production Log'!A:A,'Production Log'!B:B,A59)),maxifs('Production Log'!A:A,'Production Log'!B:B,A59,'Production Log'!C:C,"Production")),"")</f>
        <v/>
      </c>
      <c r="V59" s="15"/>
      <c r="W59" s="18" t="str">
        <f aca="false">IF(E59="Completed","",IF(MIN(O59,Q59,R59)=0,"",MIN(O59,Q59,R59)))</f>
        <v/>
      </c>
      <c r="X59" s="19" t="str">
        <f aca="true">IF(W59="","",W59-TODAY())</f>
        <v/>
      </c>
    </row>
    <row r="60" customFormat="false" ht="15" hidden="false" customHeight="false" outlineLevel="0" collapsed="false">
      <c r="A60" s="14"/>
      <c r="B60" s="14"/>
      <c r="C60" s="15"/>
      <c r="D60" s="14"/>
      <c r="E60" s="14"/>
      <c r="F60" s="14"/>
      <c r="G60" s="14"/>
      <c r="H60" s="14"/>
      <c r="I60" s="15"/>
      <c r="J60" s="17"/>
      <c r="K60" s="17"/>
      <c r="L60" s="18"/>
      <c r="M60" s="18"/>
      <c r="N60" s="18"/>
      <c r="O60" s="18"/>
      <c r="P60" s="18"/>
      <c r="Q60" s="18"/>
      <c r="R60" s="18"/>
      <c r="S60" s="14"/>
      <c r="T60" s="15"/>
      <c r="U60" s="18" t="str">
        <f aca="false">IFERROR(IF(maxifs('Production Log'!A:A,'Production Log'!B:B,A60,'Production Log'!C:C,"Production")=0,IF(maxifs('Production Log'!A:A,'Production Log'!B:B,A60)=0,"",maxifs('Production Log'!A:A,'Production Log'!B:B,A60)),maxifs('Production Log'!A:A,'Production Log'!B:B,A60,'Production Log'!C:C,"Production")),"")</f>
        <v/>
      </c>
      <c r="V60" s="15"/>
      <c r="W60" s="18" t="str">
        <f aca="false">IF(E60="Completed","",IF(MIN(O60,Q60,R60)=0,"",MIN(O60,Q60,R60)))</f>
        <v/>
      </c>
      <c r="X60" s="19" t="str">
        <f aca="true">IF(W60="","",W60-TODAY())</f>
        <v/>
      </c>
    </row>
    <row r="61" customFormat="false" ht="15" hidden="false" customHeight="false" outlineLevel="0" collapsed="false">
      <c r="A61" s="14"/>
      <c r="B61" s="14"/>
      <c r="C61" s="15"/>
      <c r="D61" s="14"/>
      <c r="E61" s="14"/>
      <c r="F61" s="14"/>
      <c r="G61" s="14"/>
      <c r="H61" s="14"/>
      <c r="I61" s="15"/>
      <c r="J61" s="17"/>
      <c r="K61" s="17"/>
      <c r="L61" s="18"/>
      <c r="M61" s="18"/>
      <c r="N61" s="18"/>
      <c r="O61" s="18"/>
      <c r="P61" s="18"/>
      <c r="Q61" s="18"/>
      <c r="R61" s="18"/>
      <c r="S61" s="14"/>
      <c r="T61" s="15"/>
      <c r="U61" s="18" t="str">
        <f aca="false">IFERROR(IF(maxifs('Production Log'!A:A,'Production Log'!B:B,A61,'Production Log'!C:C,"Production")=0,IF(maxifs('Production Log'!A:A,'Production Log'!B:B,A61)=0,"",maxifs('Production Log'!A:A,'Production Log'!B:B,A61)),maxifs('Production Log'!A:A,'Production Log'!B:B,A61,'Production Log'!C:C,"Production")),"")</f>
        <v/>
      </c>
      <c r="V61" s="15"/>
      <c r="W61" s="18" t="str">
        <f aca="false">IF(E61="Completed","",IF(MIN(O61,Q61,R61)=0,"",MIN(O61,Q61,R61)))</f>
        <v/>
      </c>
      <c r="X61" s="19" t="str">
        <f aca="true">IF(W61="","",W61-TODAY())</f>
        <v/>
      </c>
    </row>
    <row r="62" customFormat="false" ht="15" hidden="false" customHeight="false" outlineLevel="0" collapsed="false">
      <c r="A62" s="14"/>
      <c r="B62" s="14"/>
      <c r="C62" s="15"/>
      <c r="D62" s="14"/>
      <c r="E62" s="14"/>
      <c r="F62" s="14"/>
      <c r="G62" s="14"/>
      <c r="H62" s="14"/>
      <c r="I62" s="15"/>
      <c r="J62" s="17"/>
      <c r="K62" s="17"/>
      <c r="L62" s="18"/>
      <c r="M62" s="18"/>
      <c r="N62" s="18"/>
      <c r="O62" s="18"/>
      <c r="P62" s="18"/>
      <c r="Q62" s="18"/>
      <c r="R62" s="18"/>
      <c r="S62" s="14"/>
      <c r="T62" s="15"/>
      <c r="U62" s="18" t="str">
        <f aca="false">IFERROR(IF(maxifs('Production Log'!A:A,'Production Log'!B:B,A62,'Production Log'!C:C,"Production")=0,IF(maxifs('Production Log'!A:A,'Production Log'!B:B,A62)=0,"",maxifs('Production Log'!A:A,'Production Log'!B:B,A62)),maxifs('Production Log'!A:A,'Production Log'!B:B,A62,'Production Log'!C:C,"Production")),"")</f>
        <v/>
      </c>
      <c r="V62" s="15"/>
      <c r="W62" s="18" t="str">
        <f aca="false">IF(E62="Completed","",IF(MIN(O62,Q62,R62)=0,"",MIN(O62,Q62,R62)))</f>
        <v/>
      </c>
      <c r="X62" s="19" t="str">
        <f aca="true">IF(W62="","",W62-TODAY())</f>
        <v/>
      </c>
    </row>
  </sheetData>
  <autoFilter ref="A12:V62"/>
  <mergeCells count="2">
    <mergeCell ref="A1:I1"/>
    <mergeCell ref="A2:I2"/>
  </mergeCells>
  <conditionalFormatting sqref="E13:E62">
    <cfRule type="expression" priority="2" aboveAverage="0" equalAverage="0" bottom="0" percent="0" rank="0" text="" dxfId="15">
      <formula>EXACT($E13,"1. Quote Requested")</formula>
    </cfRule>
    <cfRule type="expression" priority="3" aboveAverage="0" equalAverage="0" bottom="0" percent="0" rank="0" text="" dxfId="16">
      <formula>EXACT($E13,"2. Quote Sent to Customer")</formula>
    </cfRule>
    <cfRule type="expression" priority="4" aboveAverage="0" equalAverage="0" bottom="0" percent="0" rank="0" text="" dxfId="17">
      <formula>EXACT($E13,"3. Customer PO Received")</formula>
    </cfRule>
    <cfRule type="expression" priority="5" aboveAverage="0" equalAverage="0" bottom="0" percent="0" rank="0" text="" dxfId="18">
      <formula>EXACT($E13,"4. PO Issued to Molder")</formula>
    </cfRule>
    <cfRule type="expression" priority="6" aboveAverage="0" equalAverage="0" bottom="0" percent="0" rank="0" text="" dxfId="19">
      <formula>EXACT($E13,"5. Mold in Production")</formula>
    </cfRule>
    <cfRule type="expression" priority="7" aboveAverage="0" equalAverage="0" bottom="0" percent="0" rank="0" text="" dxfId="20">
      <formula>EXACT($E13,"6. Sample / FAI Approval")</formula>
    </cfRule>
    <cfRule type="expression" priority="8" aboveAverage="0" equalAverage="0" bottom="0" percent="0" rank="0" text="" dxfId="21">
      <formula>EXACT($E13,"7. Production &amp; Shipping")</formula>
    </cfRule>
    <cfRule type="expression" priority="9" aboveAverage="0" equalAverage="0" bottom="0" percent="0" rank="0" text="" dxfId="22">
      <formula>EXACT($E13,"Completed")</formula>
    </cfRule>
  </conditionalFormatting>
  <conditionalFormatting sqref="X13:X62">
    <cfRule type="cellIs" priority="10" operator="lessThan" aboveAverage="0" equalAverage="0" bottom="0" percent="0" rank="0" text="" dxfId="24">
      <formula>0</formula>
    </cfRule>
    <cfRule type="cellIs" priority="11" operator="between" aboveAverage="0" equalAverage="0" bottom="0" percent="0" rank="0" text="" dxfId="25">
      <formula>0</formula>
      <formula>7</formula>
    </cfRule>
    <cfRule type="cellIs" priority="12" operator="greaterThan" aboveAverage="0" equalAverage="0" bottom="0" percent="0" rank="0" text="" dxfId="26">
      <formula>7</formula>
    </cfRule>
  </conditionalFormatting>
  <conditionalFormatting sqref="A13:V62">
    <cfRule type="expression" priority="13" aboveAverage="0" equalAverage="0" bottom="0" percent="0" rank="0" text="" dxfId="14">
      <formula>$E13="Completed"</formula>
    </cfRule>
    <cfRule type="expression" priority="14" aboveAverage="0" equalAverage="0" bottom="0" percent="0" rank="0" text="" dxfId="27">
      <formula>AND($X13&lt;&gt;"",$X13&lt;0,$E13&lt;&gt;"Completed")</formula>
    </cfRule>
  </conditionalFormatting>
  <dataValidations count="4">
    <dataValidation allowBlank="true" errorStyle="stop" operator="between" showDropDown="false" showErrorMessage="false" showInputMessage="false" sqref="E13:E62" type="list">
      <formula1>"1. Quote Requested,2. Quote Sent to Customer,3. Customer PO Received,4. PO Issued to Molder,5. Mold in Production,6. Sample / FAI Approval,7. Production &amp; Shipping,Completed"</formula1>
      <formula2>0</formula2>
    </dataValidation>
    <dataValidation allowBlank="true" errorStyle="stop" operator="between" showDropDown="false" showErrorMessage="false" showInputMessage="false" sqref="S13:S62" type="list">
      <formula1>"UPS,FedEx,USPS,DHL,Freight (LTL),Customer Pickup"</formula1>
      <formula2>0</formula2>
    </dataValidation>
    <dataValidation allowBlank="true" errorStyle="stop" operator="between" showDropDown="false" showErrorMessage="false" showInputMessage="false" sqref="B13:B62" type="list">
      <formula1>CustomerList</formula1>
      <formula2>0</formula2>
    </dataValidation>
    <dataValidation allowBlank="true" errorStyle="stop" operator="between" showDropDown="false" showErrorMessage="false" showInputMessage="false" sqref="D13:D62" type="list">
      <formula1>MolderList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T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2" topLeftCell="A1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4"/>
    <col collapsed="false" customWidth="true" hidden="false" outlineLevel="0" max="3" min="2" style="0" width="22"/>
    <col collapsed="false" customWidth="true" hidden="false" outlineLevel="0" max="5" min="4" style="0" width="24"/>
    <col collapsed="false" customWidth="true" hidden="false" outlineLevel="0" max="6" min="6" style="0" width="11"/>
    <col collapsed="false" customWidth="true" hidden="false" outlineLevel="0" max="8" min="7" style="0" width="14"/>
    <col collapsed="false" customWidth="true" hidden="false" outlineLevel="0" max="9" min="9" style="0" width="30"/>
    <col collapsed="false" customWidth="true" hidden="false" outlineLevel="0" max="11" min="10" style="0" width="13"/>
    <col collapsed="false" customWidth="true" hidden="false" outlineLevel="0" max="12" min="12" style="0" width="12"/>
    <col collapsed="false" customWidth="true" hidden="false" outlineLevel="0" max="13" min="13" style="0" width="11"/>
    <col collapsed="false" customWidth="true" hidden="false" outlineLevel="0" max="16" min="14" style="0" width="13"/>
    <col collapsed="false" customWidth="true" hidden="false" outlineLevel="0" max="17" min="17" style="0" width="15"/>
    <col collapsed="false" customWidth="true" hidden="false" outlineLevel="0" max="18" min="18" style="0" width="24"/>
    <col collapsed="false" customWidth="true" hidden="true" outlineLevel="0" max="19" min="19" style="0" width="12"/>
    <col collapsed="false" customWidth="true" hidden="true" outlineLevel="0" max="20" min="20" style="0" width="11"/>
  </cols>
  <sheetData>
    <row r="1" customFormat="false" ht="22.05" hidden="false" customHeight="false" outlineLevel="0" collapsed="false">
      <c r="A1" s="1" t="s">
        <v>4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false" outlineLevel="0" collapsed="false">
      <c r="A2" s="2" t="s">
        <v>62</v>
      </c>
      <c r="B2" s="2"/>
      <c r="C2" s="2"/>
      <c r="D2" s="2"/>
      <c r="E2" s="2"/>
      <c r="F2" s="2"/>
      <c r="G2" s="2"/>
      <c r="H2" s="2"/>
      <c r="I2" s="2"/>
    </row>
    <row r="12" customFormat="false" ht="31.5" hidden="false" customHeight="true" outlineLevel="0" collapsed="false">
      <c r="A12" s="12" t="s">
        <v>6</v>
      </c>
      <c r="B12" s="12" t="s">
        <v>8</v>
      </c>
      <c r="C12" s="12" t="s">
        <v>15</v>
      </c>
      <c r="D12" s="12" t="s">
        <v>16</v>
      </c>
      <c r="E12" s="12" t="s">
        <v>9</v>
      </c>
      <c r="F12" s="12" t="s">
        <v>17</v>
      </c>
      <c r="G12" s="12" t="s">
        <v>10</v>
      </c>
      <c r="H12" s="12" t="s">
        <v>11</v>
      </c>
      <c r="I12" s="12" t="s">
        <v>12</v>
      </c>
      <c r="J12" s="12" t="s">
        <v>18</v>
      </c>
      <c r="K12" s="12" t="s">
        <v>19</v>
      </c>
      <c r="L12" s="12" t="s">
        <v>63</v>
      </c>
      <c r="M12" s="12" t="s">
        <v>64</v>
      </c>
      <c r="N12" s="12" t="s">
        <v>21</v>
      </c>
      <c r="O12" s="12" t="s">
        <v>22</v>
      </c>
      <c r="P12" s="12" t="s">
        <v>26</v>
      </c>
      <c r="Q12" s="12" t="s">
        <v>29</v>
      </c>
      <c r="R12" s="12" t="s">
        <v>30</v>
      </c>
      <c r="S12" s="12" t="s">
        <v>31</v>
      </c>
      <c r="T12" s="12" t="s">
        <v>32</v>
      </c>
    </row>
    <row r="13" customFormat="false" ht="15" hidden="false" customHeight="false" outlineLevel="0" collapsed="false">
      <c r="A13" s="14" t="s">
        <v>65</v>
      </c>
      <c r="B13" s="14" t="s">
        <v>66</v>
      </c>
      <c r="C13" s="15" t="s">
        <v>67</v>
      </c>
      <c r="D13" s="14" t="s">
        <v>68</v>
      </c>
      <c r="E13" s="14" t="s">
        <v>69</v>
      </c>
      <c r="F13" s="14" t="s">
        <v>38</v>
      </c>
      <c r="G13" s="14" t="s">
        <v>70</v>
      </c>
      <c r="H13" s="14" t="s">
        <v>71</v>
      </c>
      <c r="I13" s="15" t="s">
        <v>72</v>
      </c>
      <c r="J13" s="17" t="n">
        <v>21000</v>
      </c>
      <c r="K13" s="17" t="n">
        <v>13800</v>
      </c>
      <c r="L13" s="14" t="s">
        <v>73</v>
      </c>
      <c r="M13" s="20" t="n">
        <v>50000</v>
      </c>
      <c r="N13" s="18" t="n">
        <v>46120</v>
      </c>
      <c r="O13" s="18" t="n">
        <v>46124</v>
      </c>
      <c r="P13" s="18" t="n">
        <v>46157</v>
      </c>
      <c r="Q13" s="18" t="str">
        <f aca="false">IFERROR(IF(maxifs('Production Log'!A:A,'Production Log'!B:B,A13)=0,"",maxifs('Production Log'!A:A,'Production Log'!B:B,A13)),"")</f>
        <v/>
      </c>
      <c r="R13" s="15"/>
      <c r="S13" s="18" t="n">
        <f aca="false">IF(E13="Completed","",IF(P13=0,"",P13))</f>
        <v>46157</v>
      </c>
      <c r="T13" s="19" t="n">
        <f aca="true">IF(S13="","",S13-TODAY())</f>
        <v>16</v>
      </c>
    </row>
    <row r="14" customFormat="false" ht="15" hidden="false" customHeight="false" outlineLevel="0" collapsed="false">
      <c r="A14" s="14" t="s">
        <v>74</v>
      </c>
      <c r="B14" s="14" t="s">
        <v>41</v>
      </c>
      <c r="C14" s="15" t="s">
        <v>75</v>
      </c>
      <c r="D14" s="14" t="s">
        <v>43</v>
      </c>
      <c r="E14" s="14" t="s">
        <v>76</v>
      </c>
      <c r="F14" s="14" t="s">
        <v>38</v>
      </c>
      <c r="G14" s="14" t="s">
        <v>77</v>
      </c>
      <c r="H14" s="14"/>
      <c r="I14" s="15" t="s">
        <v>78</v>
      </c>
      <c r="J14" s="17" t="n">
        <v>18900</v>
      </c>
      <c r="K14" s="17" t="n">
        <v>12100</v>
      </c>
      <c r="L14" s="14" t="s">
        <v>79</v>
      </c>
      <c r="M14" s="20" t="n">
        <v>5000</v>
      </c>
      <c r="N14" s="18" t="n">
        <v>46130</v>
      </c>
      <c r="O14" s="18"/>
      <c r="P14" s="18" t="n">
        <v>46183</v>
      </c>
      <c r="Q14" s="18" t="str">
        <f aca="false">IFERROR(IF(maxifs('Production Log'!A:A,'Production Log'!B:B,A14)=0,"",maxifs('Production Log'!A:A,'Production Log'!B:B,A14)),"")</f>
        <v/>
      </c>
      <c r="R14" s="15"/>
      <c r="S14" s="18" t="n">
        <f aca="false">IF(E14="Completed","",IF(P14=0,"",P14))</f>
        <v>46183</v>
      </c>
      <c r="T14" s="19" t="n">
        <f aca="true">IF(S14="","",S14-TODAY())</f>
        <v>42</v>
      </c>
    </row>
    <row r="15" customFormat="false" ht="15" hidden="false" customHeight="false" outlineLevel="0" collapsed="false">
      <c r="A15" s="14" t="s">
        <v>80</v>
      </c>
      <c r="B15" s="14" t="s">
        <v>49</v>
      </c>
      <c r="C15" s="15" t="s">
        <v>81</v>
      </c>
      <c r="D15" s="14" t="s">
        <v>36</v>
      </c>
      <c r="E15" s="14" t="s">
        <v>82</v>
      </c>
      <c r="F15" s="14" t="s">
        <v>38</v>
      </c>
      <c r="G15" s="14" t="s">
        <v>83</v>
      </c>
      <c r="H15" s="14" t="s">
        <v>84</v>
      </c>
      <c r="I15" s="15" t="s">
        <v>85</v>
      </c>
      <c r="J15" s="17" t="n">
        <v>8500</v>
      </c>
      <c r="K15" s="17" t="n">
        <v>5400</v>
      </c>
      <c r="L15" s="14" t="s">
        <v>86</v>
      </c>
      <c r="M15" s="20" t="n">
        <v>2500</v>
      </c>
      <c r="N15" s="18" t="n">
        <v>46086</v>
      </c>
      <c r="O15" s="18" t="n">
        <v>46091</v>
      </c>
      <c r="P15" s="18" t="n">
        <v>46132</v>
      </c>
      <c r="Q15" s="18" t="str">
        <f aca="false">IFERROR(IF(maxifs('Production Log'!A:A,'Production Log'!B:B,A15)=0,"",maxifs('Production Log'!A:A,'Production Log'!B:B,A15)),"")</f>
        <v/>
      </c>
      <c r="R15" s="15"/>
      <c r="S15" s="18" t="str">
        <f aca="false">IF(E15="Completed","",IF(P15=0,"",P15))</f>
        <v/>
      </c>
      <c r="T15" s="19" t="str">
        <f aca="true">IF(S15="","",S15-TODAY())</f>
        <v/>
      </c>
    </row>
    <row r="16" customFormat="false" ht="15" hidden="false" customHeight="false" outlineLevel="0" collapsed="false">
      <c r="A16" s="14"/>
      <c r="B16" s="14"/>
      <c r="C16" s="15"/>
      <c r="D16" s="14"/>
      <c r="E16" s="14"/>
      <c r="F16" s="14"/>
      <c r="G16" s="14"/>
      <c r="H16" s="14"/>
      <c r="I16" s="15"/>
      <c r="J16" s="17"/>
      <c r="K16" s="17"/>
      <c r="L16" s="14"/>
      <c r="M16" s="20"/>
      <c r="N16" s="18"/>
      <c r="O16" s="18"/>
      <c r="P16" s="18"/>
      <c r="Q16" s="18" t="str">
        <f aca="false">IFERROR(IF(maxifs('Production Log'!A:A,'Production Log'!B:B,A16)=0,"",maxifs('Production Log'!A:A,'Production Log'!B:B,A16)),"")</f>
        <v/>
      </c>
      <c r="R16" s="15"/>
      <c r="S16" s="18" t="str">
        <f aca="false">IF(E16="Completed","",IF(P16=0,"",P16))</f>
        <v/>
      </c>
      <c r="T16" s="19" t="str">
        <f aca="true">IF(S16="","",S16-TODAY())</f>
        <v/>
      </c>
    </row>
    <row r="17" customFormat="false" ht="15" hidden="false" customHeight="false" outlineLevel="0" collapsed="false">
      <c r="A17" s="14"/>
      <c r="B17" s="14"/>
      <c r="C17" s="15"/>
      <c r="D17" s="14"/>
      <c r="E17" s="14"/>
      <c r="F17" s="14"/>
      <c r="G17" s="14"/>
      <c r="H17" s="14"/>
      <c r="I17" s="15"/>
      <c r="J17" s="17"/>
      <c r="K17" s="17"/>
      <c r="L17" s="14"/>
      <c r="M17" s="20"/>
      <c r="N17" s="18"/>
      <c r="O17" s="18"/>
      <c r="P17" s="18"/>
      <c r="Q17" s="18" t="str">
        <f aca="false">IFERROR(IF(maxifs('Production Log'!A:A,'Production Log'!B:B,A17)=0,"",maxifs('Production Log'!A:A,'Production Log'!B:B,A17)),"")</f>
        <v/>
      </c>
      <c r="R17" s="15"/>
      <c r="S17" s="18" t="str">
        <f aca="false">IF(E17="Completed","",IF(P17=0,"",P17))</f>
        <v/>
      </c>
      <c r="T17" s="19" t="str">
        <f aca="true">IF(S17="","",S17-TODAY())</f>
        <v/>
      </c>
    </row>
    <row r="18" customFormat="false" ht="15" hidden="false" customHeight="false" outlineLevel="0" collapsed="false">
      <c r="A18" s="14"/>
      <c r="B18" s="14"/>
      <c r="C18" s="15"/>
      <c r="D18" s="14"/>
      <c r="E18" s="14"/>
      <c r="F18" s="14"/>
      <c r="G18" s="14"/>
      <c r="H18" s="14"/>
      <c r="I18" s="15"/>
      <c r="J18" s="17"/>
      <c r="K18" s="17"/>
      <c r="L18" s="14"/>
      <c r="M18" s="20"/>
      <c r="N18" s="18"/>
      <c r="O18" s="18"/>
      <c r="P18" s="18"/>
      <c r="Q18" s="18" t="str">
        <f aca="false">IFERROR(IF(maxifs('Production Log'!A:A,'Production Log'!B:B,A18)=0,"",maxifs('Production Log'!A:A,'Production Log'!B:B,A18)),"")</f>
        <v/>
      </c>
      <c r="R18" s="15"/>
      <c r="S18" s="18" t="str">
        <f aca="false">IF(E18="Completed","",IF(P18=0,"",P18))</f>
        <v/>
      </c>
      <c r="T18" s="19" t="str">
        <f aca="true">IF(S18="","",S18-TODAY())</f>
        <v/>
      </c>
    </row>
    <row r="19" customFormat="false" ht="15" hidden="false" customHeight="false" outlineLevel="0" collapsed="false">
      <c r="A19" s="14"/>
      <c r="B19" s="14"/>
      <c r="C19" s="15"/>
      <c r="D19" s="14"/>
      <c r="E19" s="14"/>
      <c r="F19" s="14"/>
      <c r="G19" s="14"/>
      <c r="H19" s="14"/>
      <c r="I19" s="15"/>
      <c r="J19" s="17"/>
      <c r="K19" s="17"/>
      <c r="L19" s="14"/>
      <c r="M19" s="20"/>
      <c r="N19" s="18"/>
      <c r="O19" s="18"/>
      <c r="P19" s="18"/>
      <c r="Q19" s="18" t="str">
        <f aca="false">IFERROR(IF(maxifs('Production Log'!A:A,'Production Log'!B:B,A19)=0,"",maxifs('Production Log'!A:A,'Production Log'!B:B,A19)),"")</f>
        <v/>
      </c>
      <c r="R19" s="15"/>
      <c r="S19" s="18" t="str">
        <f aca="false">IF(E19="Completed","",IF(P19=0,"",P19))</f>
        <v/>
      </c>
      <c r="T19" s="19" t="str">
        <f aca="true">IF(S19="","",S19-TODAY())</f>
        <v/>
      </c>
    </row>
    <row r="20" customFormat="false" ht="15" hidden="false" customHeight="false" outlineLevel="0" collapsed="false">
      <c r="A20" s="14"/>
      <c r="B20" s="14"/>
      <c r="C20" s="15"/>
      <c r="D20" s="14"/>
      <c r="E20" s="14"/>
      <c r="F20" s="14"/>
      <c r="G20" s="14"/>
      <c r="H20" s="14"/>
      <c r="I20" s="15"/>
      <c r="J20" s="17"/>
      <c r="K20" s="17"/>
      <c r="L20" s="14"/>
      <c r="M20" s="20"/>
      <c r="N20" s="18"/>
      <c r="O20" s="18"/>
      <c r="P20" s="18"/>
      <c r="Q20" s="18" t="str">
        <f aca="false">IFERROR(IF(maxifs('Production Log'!A:A,'Production Log'!B:B,A20)=0,"",maxifs('Production Log'!A:A,'Production Log'!B:B,A20)),"")</f>
        <v/>
      </c>
      <c r="R20" s="15"/>
      <c r="S20" s="18" t="str">
        <f aca="false">IF(E20="Completed","",IF(P20=0,"",P20))</f>
        <v/>
      </c>
      <c r="T20" s="19" t="str">
        <f aca="true">IF(S20="","",S20-TODAY())</f>
        <v/>
      </c>
    </row>
    <row r="21" customFormat="false" ht="15" hidden="false" customHeight="false" outlineLevel="0" collapsed="false">
      <c r="A21" s="14"/>
      <c r="B21" s="14"/>
      <c r="C21" s="15"/>
      <c r="D21" s="14"/>
      <c r="E21" s="14"/>
      <c r="F21" s="14"/>
      <c r="G21" s="14"/>
      <c r="H21" s="14"/>
      <c r="I21" s="15"/>
      <c r="J21" s="17"/>
      <c r="K21" s="17"/>
      <c r="L21" s="14"/>
      <c r="M21" s="20"/>
      <c r="N21" s="18"/>
      <c r="O21" s="18"/>
      <c r="P21" s="18"/>
      <c r="Q21" s="18" t="str">
        <f aca="false">IFERROR(IF(maxifs('Production Log'!A:A,'Production Log'!B:B,A21)=0,"",maxifs('Production Log'!A:A,'Production Log'!B:B,A21)),"")</f>
        <v/>
      </c>
      <c r="R21" s="15"/>
      <c r="S21" s="18" t="str">
        <f aca="false">IF(E21="Completed","",IF(P21=0,"",P21))</f>
        <v/>
      </c>
      <c r="T21" s="19" t="str">
        <f aca="true">IF(S21="","",S21-TODAY())</f>
        <v/>
      </c>
    </row>
    <row r="22" customFormat="false" ht="15" hidden="false" customHeight="false" outlineLevel="0" collapsed="false">
      <c r="A22" s="14"/>
      <c r="B22" s="14"/>
      <c r="C22" s="15"/>
      <c r="D22" s="14"/>
      <c r="E22" s="14"/>
      <c r="F22" s="14"/>
      <c r="G22" s="14"/>
      <c r="H22" s="14"/>
      <c r="I22" s="15"/>
      <c r="J22" s="17"/>
      <c r="K22" s="17"/>
      <c r="L22" s="14"/>
      <c r="M22" s="20"/>
      <c r="N22" s="18"/>
      <c r="O22" s="18"/>
      <c r="P22" s="18"/>
      <c r="Q22" s="18" t="str">
        <f aca="false">IFERROR(IF(maxifs('Production Log'!A:A,'Production Log'!B:B,A22)=0,"",maxifs('Production Log'!A:A,'Production Log'!B:B,A22)),"")</f>
        <v/>
      </c>
      <c r="R22" s="15"/>
      <c r="S22" s="18" t="str">
        <f aca="false">IF(E22="Completed","",IF(P22=0,"",P22))</f>
        <v/>
      </c>
      <c r="T22" s="19" t="str">
        <f aca="true">IF(S22="","",S22-TODAY())</f>
        <v/>
      </c>
    </row>
    <row r="23" customFormat="false" ht="15" hidden="false" customHeight="false" outlineLevel="0" collapsed="false">
      <c r="A23" s="14"/>
      <c r="B23" s="14"/>
      <c r="C23" s="15"/>
      <c r="D23" s="14"/>
      <c r="E23" s="14"/>
      <c r="F23" s="14"/>
      <c r="G23" s="14"/>
      <c r="H23" s="14"/>
      <c r="I23" s="15"/>
      <c r="J23" s="17"/>
      <c r="K23" s="17"/>
      <c r="L23" s="14"/>
      <c r="M23" s="20"/>
      <c r="N23" s="18"/>
      <c r="O23" s="18"/>
      <c r="P23" s="18"/>
      <c r="Q23" s="18" t="str">
        <f aca="false">IFERROR(IF(maxifs('Production Log'!A:A,'Production Log'!B:B,A23)=0,"",maxifs('Production Log'!A:A,'Production Log'!B:B,A23)),"")</f>
        <v/>
      </c>
      <c r="R23" s="15"/>
      <c r="S23" s="18" t="str">
        <f aca="false">IF(E23="Completed","",IF(P23=0,"",P23))</f>
        <v/>
      </c>
      <c r="T23" s="19" t="str">
        <f aca="true">IF(S23="","",S23-TODAY())</f>
        <v/>
      </c>
    </row>
    <row r="24" customFormat="false" ht="15" hidden="false" customHeight="false" outlineLevel="0" collapsed="false">
      <c r="A24" s="14"/>
      <c r="B24" s="14"/>
      <c r="C24" s="15"/>
      <c r="D24" s="14"/>
      <c r="E24" s="14"/>
      <c r="F24" s="14"/>
      <c r="G24" s="14"/>
      <c r="H24" s="14"/>
      <c r="I24" s="15"/>
      <c r="J24" s="17"/>
      <c r="K24" s="17"/>
      <c r="L24" s="14"/>
      <c r="M24" s="20"/>
      <c r="N24" s="18"/>
      <c r="O24" s="18"/>
      <c r="P24" s="18"/>
      <c r="Q24" s="18" t="str">
        <f aca="false">IFERROR(IF(maxifs('Production Log'!A:A,'Production Log'!B:B,A24)=0,"",maxifs('Production Log'!A:A,'Production Log'!B:B,A24)),"")</f>
        <v/>
      </c>
      <c r="R24" s="15"/>
      <c r="S24" s="18" t="str">
        <f aca="false">IF(E24="Completed","",IF(P24=0,"",P24))</f>
        <v/>
      </c>
      <c r="T24" s="19" t="str">
        <f aca="true">IF(S24="","",S24-TODAY())</f>
        <v/>
      </c>
    </row>
    <row r="25" customFormat="false" ht="15" hidden="false" customHeight="false" outlineLevel="0" collapsed="false">
      <c r="A25" s="14"/>
      <c r="B25" s="14"/>
      <c r="C25" s="15"/>
      <c r="D25" s="14"/>
      <c r="E25" s="14"/>
      <c r="F25" s="14"/>
      <c r="G25" s="14"/>
      <c r="H25" s="14"/>
      <c r="I25" s="15"/>
      <c r="J25" s="17"/>
      <c r="K25" s="17"/>
      <c r="L25" s="14"/>
      <c r="M25" s="20"/>
      <c r="N25" s="18"/>
      <c r="O25" s="18"/>
      <c r="P25" s="18"/>
      <c r="Q25" s="18" t="str">
        <f aca="false">IFERROR(IF(maxifs('Production Log'!A:A,'Production Log'!B:B,A25)=0,"",maxifs('Production Log'!A:A,'Production Log'!B:B,A25)),"")</f>
        <v/>
      </c>
      <c r="R25" s="15"/>
      <c r="S25" s="18" t="str">
        <f aca="false">IF(E25="Completed","",IF(P25=0,"",P25))</f>
        <v/>
      </c>
      <c r="T25" s="19" t="str">
        <f aca="true">IF(S25="","",S25-TODAY())</f>
        <v/>
      </c>
    </row>
    <row r="26" customFormat="false" ht="15" hidden="false" customHeight="false" outlineLevel="0" collapsed="false">
      <c r="A26" s="14"/>
      <c r="B26" s="14"/>
      <c r="C26" s="15"/>
      <c r="D26" s="14"/>
      <c r="E26" s="14"/>
      <c r="F26" s="14"/>
      <c r="G26" s="14"/>
      <c r="H26" s="14"/>
      <c r="I26" s="15"/>
      <c r="J26" s="17"/>
      <c r="K26" s="17"/>
      <c r="L26" s="14"/>
      <c r="M26" s="20"/>
      <c r="N26" s="18"/>
      <c r="O26" s="18"/>
      <c r="P26" s="18"/>
      <c r="Q26" s="18" t="str">
        <f aca="false">IFERROR(IF(maxifs('Production Log'!A:A,'Production Log'!B:B,A26)=0,"",maxifs('Production Log'!A:A,'Production Log'!B:B,A26)),"")</f>
        <v/>
      </c>
      <c r="R26" s="15"/>
      <c r="S26" s="18" t="str">
        <f aca="false">IF(E26="Completed","",IF(P26=0,"",P26))</f>
        <v/>
      </c>
      <c r="T26" s="19" t="str">
        <f aca="true">IF(S26="","",S26-TODAY())</f>
        <v/>
      </c>
    </row>
    <row r="27" customFormat="false" ht="15" hidden="false" customHeight="false" outlineLevel="0" collapsed="false">
      <c r="A27" s="14"/>
      <c r="B27" s="14"/>
      <c r="C27" s="15"/>
      <c r="D27" s="14"/>
      <c r="E27" s="14"/>
      <c r="F27" s="14"/>
      <c r="G27" s="14"/>
      <c r="H27" s="14"/>
      <c r="I27" s="15"/>
      <c r="J27" s="17"/>
      <c r="K27" s="17"/>
      <c r="L27" s="14"/>
      <c r="M27" s="20"/>
      <c r="N27" s="18"/>
      <c r="O27" s="18"/>
      <c r="P27" s="18"/>
      <c r="Q27" s="18" t="str">
        <f aca="false">IFERROR(IF(maxifs('Production Log'!A:A,'Production Log'!B:B,A27)=0,"",maxifs('Production Log'!A:A,'Production Log'!B:B,A27)),"")</f>
        <v/>
      </c>
      <c r="R27" s="15"/>
      <c r="S27" s="18" t="str">
        <f aca="false">IF(E27="Completed","",IF(P27=0,"",P27))</f>
        <v/>
      </c>
      <c r="T27" s="19" t="str">
        <f aca="true">IF(S27="","",S27-TODAY())</f>
        <v/>
      </c>
    </row>
    <row r="28" customFormat="false" ht="15" hidden="false" customHeight="false" outlineLevel="0" collapsed="false">
      <c r="A28" s="14"/>
      <c r="B28" s="14"/>
      <c r="C28" s="15"/>
      <c r="D28" s="14"/>
      <c r="E28" s="14"/>
      <c r="F28" s="14"/>
      <c r="G28" s="14"/>
      <c r="H28" s="14"/>
      <c r="I28" s="15"/>
      <c r="J28" s="17"/>
      <c r="K28" s="17"/>
      <c r="L28" s="14"/>
      <c r="M28" s="20"/>
      <c r="N28" s="18"/>
      <c r="O28" s="18"/>
      <c r="P28" s="18"/>
      <c r="Q28" s="18" t="str">
        <f aca="false">IFERROR(IF(maxifs('Production Log'!A:A,'Production Log'!B:B,A28)=0,"",maxifs('Production Log'!A:A,'Production Log'!B:B,A28)),"")</f>
        <v/>
      </c>
      <c r="R28" s="15"/>
      <c r="S28" s="18" t="str">
        <f aca="false">IF(E28="Completed","",IF(P28=0,"",P28))</f>
        <v/>
      </c>
      <c r="T28" s="19" t="str">
        <f aca="true">IF(S28="","",S28-TODAY())</f>
        <v/>
      </c>
    </row>
    <row r="29" customFormat="false" ht="15" hidden="false" customHeight="false" outlineLevel="0" collapsed="false">
      <c r="A29" s="14"/>
      <c r="B29" s="14"/>
      <c r="C29" s="15"/>
      <c r="D29" s="14"/>
      <c r="E29" s="14"/>
      <c r="F29" s="14"/>
      <c r="G29" s="14"/>
      <c r="H29" s="14"/>
      <c r="I29" s="15"/>
      <c r="J29" s="17"/>
      <c r="K29" s="17"/>
      <c r="L29" s="14"/>
      <c r="M29" s="20"/>
      <c r="N29" s="18"/>
      <c r="O29" s="18"/>
      <c r="P29" s="18"/>
      <c r="Q29" s="18" t="str">
        <f aca="false">IFERROR(IF(maxifs('Production Log'!A:A,'Production Log'!B:B,A29)=0,"",maxifs('Production Log'!A:A,'Production Log'!B:B,A29)),"")</f>
        <v/>
      </c>
      <c r="R29" s="15"/>
      <c r="S29" s="18" t="str">
        <f aca="false">IF(E29="Completed","",IF(P29=0,"",P29))</f>
        <v/>
      </c>
      <c r="T29" s="19" t="str">
        <f aca="true">IF(S29="","",S29-TODAY())</f>
        <v/>
      </c>
    </row>
    <row r="30" customFormat="false" ht="15" hidden="false" customHeight="false" outlineLevel="0" collapsed="false">
      <c r="A30" s="14"/>
      <c r="B30" s="14"/>
      <c r="C30" s="15"/>
      <c r="D30" s="14"/>
      <c r="E30" s="14"/>
      <c r="F30" s="14"/>
      <c r="G30" s="14"/>
      <c r="H30" s="14"/>
      <c r="I30" s="15"/>
      <c r="J30" s="17"/>
      <c r="K30" s="17"/>
      <c r="L30" s="14"/>
      <c r="M30" s="20"/>
      <c r="N30" s="18"/>
      <c r="O30" s="18"/>
      <c r="P30" s="18"/>
      <c r="Q30" s="18" t="str">
        <f aca="false">IFERROR(IF(maxifs('Production Log'!A:A,'Production Log'!B:B,A30)=0,"",maxifs('Production Log'!A:A,'Production Log'!B:B,A30)),"")</f>
        <v/>
      </c>
      <c r="R30" s="15"/>
      <c r="S30" s="18" t="str">
        <f aca="false">IF(E30="Completed","",IF(P30=0,"",P30))</f>
        <v/>
      </c>
      <c r="T30" s="19" t="str">
        <f aca="true">IF(S30="","",S30-TODAY())</f>
        <v/>
      </c>
    </row>
    <row r="31" customFormat="false" ht="15" hidden="false" customHeight="false" outlineLevel="0" collapsed="false">
      <c r="A31" s="14"/>
      <c r="B31" s="14"/>
      <c r="C31" s="15"/>
      <c r="D31" s="14"/>
      <c r="E31" s="14"/>
      <c r="F31" s="14"/>
      <c r="G31" s="14"/>
      <c r="H31" s="14"/>
      <c r="I31" s="15"/>
      <c r="J31" s="17"/>
      <c r="K31" s="17"/>
      <c r="L31" s="14"/>
      <c r="M31" s="20"/>
      <c r="N31" s="18"/>
      <c r="O31" s="18"/>
      <c r="P31" s="18"/>
      <c r="Q31" s="18" t="str">
        <f aca="false">IFERROR(IF(maxifs('Production Log'!A:A,'Production Log'!B:B,A31)=0,"",maxifs('Production Log'!A:A,'Production Log'!B:B,A31)),"")</f>
        <v/>
      </c>
      <c r="R31" s="15"/>
      <c r="S31" s="18" t="str">
        <f aca="false">IF(E31="Completed","",IF(P31=0,"",P31))</f>
        <v/>
      </c>
      <c r="T31" s="19" t="str">
        <f aca="true">IF(S31="","",S31-TODAY())</f>
        <v/>
      </c>
    </row>
    <row r="32" customFormat="false" ht="15" hidden="false" customHeight="false" outlineLevel="0" collapsed="false">
      <c r="A32" s="14"/>
      <c r="B32" s="14"/>
      <c r="C32" s="15"/>
      <c r="D32" s="14"/>
      <c r="E32" s="14"/>
      <c r="F32" s="14"/>
      <c r="G32" s="14"/>
      <c r="H32" s="14"/>
      <c r="I32" s="15"/>
      <c r="J32" s="17"/>
      <c r="K32" s="17"/>
      <c r="L32" s="14"/>
      <c r="M32" s="20"/>
      <c r="N32" s="18"/>
      <c r="O32" s="18"/>
      <c r="P32" s="18"/>
      <c r="Q32" s="18" t="str">
        <f aca="false">IFERROR(IF(maxifs('Production Log'!A:A,'Production Log'!B:B,A32)=0,"",maxifs('Production Log'!A:A,'Production Log'!B:B,A32)),"")</f>
        <v/>
      </c>
      <c r="R32" s="15"/>
      <c r="S32" s="18" t="str">
        <f aca="false">IF(E32="Completed","",IF(P32=0,"",P32))</f>
        <v/>
      </c>
      <c r="T32" s="19" t="str">
        <f aca="true">IF(S32="","",S32-TODAY())</f>
        <v/>
      </c>
    </row>
    <row r="33" customFormat="false" ht="15" hidden="false" customHeight="false" outlineLevel="0" collapsed="false">
      <c r="A33" s="14"/>
      <c r="B33" s="14"/>
      <c r="C33" s="15"/>
      <c r="D33" s="14"/>
      <c r="E33" s="14"/>
      <c r="F33" s="14"/>
      <c r="G33" s="14"/>
      <c r="H33" s="14"/>
      <c r="I33" s="15"/>
      <c r="J33" s="17"/>
      <c r="K33" s="17"/>
      <c r="L33" s="14"/>
      <c r="M33" s="20"/>
      <c r="N33" s="18"/>
      <c r="O33" s="18"/>
      <c r="P33" s="18"/>
      <c r="Q33" s="18" t="str">
        <f aca="false">IFERROR(IF(maxifs('Production Log'!A:A,'Production Log'!B:B,A33)=0,"",maxifs('Production Log'!A:A,'Production Log'!B:B,A33)),"")</f>
        <v/>
      </c>
      <c r="R33" s="15"/>
      <c r="S33" s="18" t="str">
        <f aca="false">IF(E33="Completed","",IF(P33=0,"",P33))</f>
        <v/>
      </c>
      <c r="T33" s="19" t="str">
        <f aca="true">IF(S33="","",S33-TODAY())</f>
        <v/>
      </c>
    </row>
    <row r="34" customFormat="false" ht="15" hidden="false" customHeight="false" outlineLevel="0" collapsed="false">
      <c r="A34" s="14"/>
      <c r="B34" s="14"/>
      <c r="C34" s="15"/>
      <c r="D34" s="14"/>
      <c r="E34" s="14"/>
      <c r="F34" s="14"/>
      <c r="G34" s="14"/>
      <c r="H34" s="14"/>
      <c r="I34" s="15"/>
      <c r="J34" s="17"/>
      <c r="K34" s="17"/>
      <c r="L34" s="14"/>
      <c r="M34" s="20"/>
      <c r="N34" s="18"/>
      <c r="O34" s="18"/>
      <c r="P34" s="18"/>
      <c r="Q34" s="18" t="str">
        <f aca="false">IFERROR(IF(maxifs('Production Log'!A:A,'Production Log'!B:B,A34)=0,"",maxifs('Production Log'!A:A,'Production Log'!B:B,A34)),"")</f>
        <v/>
      </c>
      <c r="R34" s="15"/>
      <c r="S34" s="18" t="str">
        <f aca="false">IF(E34="Completed","",IF(P34=0,"",P34))</f>
        <v/>
      </c>
      <c r="T34" s="19" t="str">
        <f aca="true">IF(S34="","",S34-TODAY())</f>
        <v/>
      </c>
    </row>
    <row r="35" customFormat="false" ht="15" hidden="false" customHeight="false" outlineLevel="0" collapsed="false">
      <c r="A35" s="14"/>
      <c r="B35" s="14"/>
      <c r="C35" s="15"/>
      <c r="D35" s="14"/>
      <c r="E35" s="14"/>
      <c r="F35" s="14"/>
      <c r="G35" s="14"/>
      <c r="H35" s="14"/>
      <c r="I35" s="15"/>
      <c r="J35" s="17"/>
      <c r="K35" s="17"/>
      <c r="L35" s="14"/>
      <c r="M35" s="20"/>
      <c r="N35" s="18"/>
      <c r="O35" s="18"/>
      <c r="P35" s="18"/>
      <c r="Q35" s="18" t="str">
        <f aca="false">IFERROR(IF(maxifs('Production Log'!A:A,'Production Log'!B:B,A35)=0,"",maxifs('Production Log'!A:A,'Production Log'!B:B,A35)),"")</f>
        <v/>
      </c>
      <c r="R35" s="15"/>
      <c r="S35" s="18" t="str">
        <f aca="false">IF(E35="Completed","",IF(P35=0,"",P35))</f>
        <v/>
      </c>
      <c r="T35" s="19" t="str">
        <f aca="true">IF(S35="","",S35-TODAY())</f>
        <v/>
      </c>
    </row>
    <row r="36" customFormat="false" ht="15" hidden="false" customHeight="false" outlineLevel="0" collapsed="false">
      <c r="A36" s="14"/>
      <c r="B36" s="14"/>
      <c r="C36" s="15"/>
      <c r="D36" s="14"/>
      <c r="E36" s="14"/>
      <c r="F36" s="14"/>
      <c r="G36" s="14"/>
      <c r="H36" s="14"/>
      <c r="I36" s="15"/>
      <c r="J36" s="17"/>
      <c r="K36" s="17"/>
      <c r="L36" s="14"/>
      <c r="M36" s="20"/>
      <c r="N36" s="18"/>
      <c r="O36" s="18"/>
      <c r="P36" s="18"/>
      <c r="Q36" s="18" t="str">
        <f aca="false">IFERROR(IF(maxifs('Production Log'!A:A,'Production Log'!B:B,A36)=0,"",maxifs('Production Log'!A:A,'Production Log'!B:B,A36)),"")</f>
        <v/>
      </c>
      <c r="R36" s="15"/>
      <c r="S36" s="18" t="str">
        <f aca="false">IF(E36="Completed","",IF(P36=0,"",P36))</f>
        <v/>
      </c>
      <c r="T36" s="19" t="str">
        <f aca="true">IF(S36="","",S36-TODAY())</f>
        <v/>
      </c>
    </row>
    <row r="37" customFormat="false" ht="15" hidden="false" customHeight="false" outlineLevel="0" collapsed="false">
      <c r="A37" s="14"/>
      <c r="B37" s="14"/>
      <c r="C37" s="15"/>
      <c r="D37" s="14"/>
      <c r="E37" s="14"/>
      <c r="F37" s="14"/>
      <c r="G37" s="14"/>
      <c r="H37" s="14"/>
      <c r="I37" s="15"/>
      <c r="J37" s="17"/>
      <c r="K37" s="17"/>
      <c r="L37" s="14"/>
      <c r="M37" s="20"/>
      <c r="N37" s="18"/>
      <c r="O37" s="18"/>
      <c r="P37" s="18"/>
      <c r="Q37" s="18" t="str">
        <f aca="false">IFERROR(IF(maxifs('Production Log'!A:A,'Production Log'!B:B,A37)=0,"",maxifs('Production Log'!A:A,'Production Log'!B:B,A37)),"")</f>
        <v/>
      </c>
      <c r="R37" s="15"/>
      <c r="S37" s="18" t="str">
        <f aca="false">IF(E37="Completed","",IF(P37=0,"",P37))</f>
        <v/>
      </c>
      <c r="T37" s="19" t="str">
        <f aca="true">IF(S37="","",S37-TODAY())</f>
        <v/>
      </c>
    </row>
    <row r="38" customFormat="false" ht="15" hidden="false" customHeight="false" outlineLevel="0" collapsed="false">
      <c r="A38" s="14"/>
      <c r="B38" s="14"/>
      <c r="C38" s="15"/>
      <c r="D38" s="14"/>
      <c r="E38" s="14"/>
      <c r="F38" s="14"/>
      <c r="G38" s="14"/>
      <c r="H38" s="14"/>
      <c r="I38" s="15"/>
      <c r="J38" s="17"/>
      <c r="K38" s="17"/>
      <c r="L38" s="14"/>
      <c r="M38" s="20"/>
      <c r="N38" s="18"/>
      <c r="O38" s="18"/>
      <c r="P38" s="18"/>
      <c r="Q38" s="18" t="str">
        <f aca="false">IFERROR(IF(maxifs('Production Log'!A:A,'Production Log'!B:B,A38)=0,"",maxifs('Production Log'!A:A,'Production Log'!B:B,A38)),"")</f>
        <v/>
      </c>
      <c r="R38" s="15"/>
      <c r="S38" s="18" t="str">
        <f aca="false">IF(E38="Completed","",IF(P38=0,"",P38))</f>
        <v/>
      </c>
      <c r="T38" s="19" t="str">
        <f aca="true">IF(S38="","",S38-TODAY())</f>
        <v/>
      </c>
    </row>
    <row r="39" customFormat="false" ht="15" hidden="false" customHeight="false" outlineLevel="0" collapsed="false">
      <c r="A39" s="14"/>
      <c r="B39" s="14"/>
      <c r="C39" s="15"/>
      <c r="D39" s="14"/>
      <c r="E39" s="14"/>
      <c r="F39" s="14"/>
      <c r="G39" s="14"/>
      <c r="H39" s="14"/>
      <c r="I39" s="15"/>
      <c r="J39" s="17"/>
      <c r="K39" s="17"/>
      <c r="L39" s="14"/>
      <c r="M39" s="20"/>
      <c r="N39" s="18"/>
      <c r="O39" s="18"/>
      <c r="P39" s="18"/>
      <c r="Q39" s="18" t="str">
        <f aca="false">IFERROR(IF(maxifs('Production Log'!A:A,'Production Log'!B:B,A39)=0,"",maxifs('Production Log'!A:A,'Production Log'!B:B,A39)),"")</f>
        <v/>
      </c>
      <c r="R39" s="15"/>
      <c r="S39" s="18" t="str">
        <f aca="false">IF(E39="Completed","",IF(P39=0,"",P39))</f>
        <v/>
      </c>
      <c r="T39" s="19" t="str">
        <f aca="true">IF(S39="","",S39-TODAY())</f>
        <v/>
      </c>
    </row>
    <row r="40" customFormat="false" ht="15" hidden="false" customHeight="false" outlineLevel="0" collapsed="false">
      <c r="A40" s="14"/>
      <c r="B40" s="14"/>
      <c r="C40" s="15"/>
      <c r="D40" s="14"/>
      <c r="E40" s="14"/>
      <c r="F40" s="14"/>
      <c r="G40" s="14"/>
      <c r="H40" s="14"/>
      <c r="I40" s="15"/>
      <c r="J40" s="17"/>
      <c r="K40" s="17"/>
      <c r="L40" s="14"/>
      <c r="M40" s="20"/>
      <c r="N40" s="18"/>
      <c r="O40" s="18"/>
      <c r="P40" s="18"/>
      <c r="Q40" s="18" t="str">
        <f aca="false">IFERROR(IF(maxifs('Production Log'!A:A,'Production Log'!B:B,A40)=0,"",maxifs('Production Log'!A:A,'Production Log'!B:B,A40)),"")</f>
        <v/>
      </c>
      <c r="R40" s="15"/>
      <c r="S40" s="18" t="str">
        <f aca="false">IF(E40="Completed","",IF(P40=0,"",P40))</f>
        <v/>
      </c>
      <c r="T40" s="19" t="str">
        <f aca="true">IF(S40="","",S40-TODAY())</f>
        <v/>
      </c>
    </row>
    <row r="41" customFormat="false" ht="15" hidden="false" customHeight="false" outlineLevel="0" collapsed="false">
      <c r="A41" s="14"/>
      <c r="B41" s="14"/>
      <c r="C41" s="15"/>
      <c r="D41" s="14"/>
      <c r="E41" s="14"/>
      <c r="F41" s="14"/>
      <c r="G41" s="14"/>
      <c r="H41" s="14"/>
      <c r="I41" s="15"/>
      <c r="J41" s="17"/>
      <c r="K41" s="17"/>
      <c r="L41" s="14"/>
      <c r="M41" s="20"/>
      <c r="N41" s="18"/>
      <c r="O41" s="18"/>
      <c r="P41" s="18"/>
      <c r="Q41" s="18" t="str">
        <f aca="false">IFERROR(IF(maxifs('Production Log'!A:A,'Production Log'!B:B,A41)=0,"",maxifs('Production Log'!A:A,'Production Log'!B:B,A41)),"")</f>
        <v/>
      </c>
      <c r="R41" s="15"/>
      <c r="S41" s="18" t="str">
        <f aca="false">IF(E41="Completed","",IF(P41=0,"",P41))</f>
        <v/>
      </c>
      <c r="T41" s="19" t="str">
        <f aca="true">IF(S41="","",S41-TODAY())</f>
        <v/>
      </c>
    </row>
    <row r="42" customFormat="false" ht="15" hidden="false" customHeight="false" outlineLevel="0" collapsed="false">
      <c r="A42" s="14"/>
      <c r="B42" s="14"/>
      <c r="C42" s="15"/>
      <c r="D42" s="14"/>
      <c r="E42" s="14"/>
      <c r="F42" s="14"/>
      <c r="G42" s="14"/>
      <c r="H42" s="14"/>
      <c r="I42" s="15"/>
      <c r="J42" s="17"/>
      <c r="K42" s="17"/>
      <c r="L42" s="14"/>
      <c r="M42" s="20"/>
      <c r="N42" s="18"/>
      <c r="O42" s="18"/>
      <c r="P42" s="18"/>
      <c r="Q42" s="18" t="str">
        <f aca="false">IFERROR(IF(maxifs('Production Log'!A:A,'Production Log'!B:B,A42)=0,"",maxifs('Production Log'!A:A,'Production Log'!B:B,A42)),"")</f>
        <v/>
      </c>
      <c r="R42" s="15"/>
      <c r="S42" s="18" t="str">
        <f aca="false">IF(E42="Completed","",IF(P42=0,"",P42))</f>
        <v/>
      </c>
      <c r="T42" s="19" t="str">
        <f aca="true">IF(S42="","",S42-TODAY())</f>
        <v/>
      </c>
    </row>
    <row r="43" customFormat="false" ht="15" hidden="false" customHeight="false" outlineLevel="0" collapsed="false">
      <c r="A43" s="14"/>
      <c r="B43" s="14"/>
      <c r="C43" s="15"/>
      <c r="D43" s="14"/>
      <c r="E43" s="14"/>
      <c r="F43" s="14"/>
      <c r="G43" s="14"/>
      <c r="H43" s="14"/>
      <c r="I43" s="15"/>
      <c r="J43" s="17"/>
      <c r="K43" s="17"/>
      <c r="L43" s="14"/>
      <c r="M43" s="20"/>
      <c r="N43" s="18"/>
      <c r="O43" s="18"/>
      <c r="P43" s="18"/>
      <c r="Q43" s="18" t="str">
        <f aca="false">IFERROR(IF(maxifs('Production Log'!A:A,'Production Log'!B:B,A43)=0,"",maxifs('Production Log'!A:A,'Production Log'!B:B,A43)),"")</f>
        <v/>
      </c>
      <c r="R43" s="15"/>
      <c r="S43" s="18" t="str">
        <f aca="false">IF(E43="Completed","",IF(P43=0,"",P43))</f>
        <v/>
      </c>
      <c r="T43" s="19" t="str">
        <f aca="true">IF(S43="","",S43-TODAY())</f>
        <v/>
      </c>
    </row>
    <row r="44" customFormat="false" ht="15" hidden="false" customHeight="false" outlineLevel="0" collapsed="false">
      <c r="A44" s="14"/>
      <c r="B44" s="14"/>
      <c r="C44" s="15"/>
      <c r="D44" s="14"/>
      <c r="E44" s="14"/>
      <c r="F44" s="14"/>
      <c r="G44" s="14"/>
      <c r="H44" s="14"/>
      <c r="I44" s="15"/>
      <c r="J44" s="17"/>
      <c r="K44" s="17"/>
      <c r="L44" s="14"/>
      <c r="M44" s="20"/>
      <c r="N44" s="18"/>
      <c r="O44" s="18"/>
      <c r="P44" s="18"/>
      <c r="Q44" s="18" t="str">
        <f aca="false">IFERROR(IF(maxifs('Production Log'!A:A,'Production Log'!B:B,A44)=0,"",maxifs('Production Log'!A:A,'Production Log'!B:B,A44)),"")</f>
        <v/>
      </c>
      <c r="R44" s="15"/>
      <c r="S44" s="18" t="str">
        <f aca="false">IF(E44="Completed","",IF(P44=0,"",P44))</f>
        <v/>
      </c>
      <c r="T44" s="19" t="str">
        <f aca="true">IF(S44="","",S44-TODAY())</f>
        <v/>
      </c>
    </row>
    <row r="45" customFormat="false" ht="15" hidden="false" customHeight="false" outlineLevel="0" collapsed="false">
      <c r="A45" s="14"/>
      <c r="B45" s="14"/>
      <c r="C45" s="15"/>
      <c r="D45" s="14"/>
      <c r="E45" s="14"/>
      <c r="F45" s="14"/>
      <c r="G45" s="14"/>
      <c r="H45" s="14"/>
      <c r="I45" s="15"/>
      <c r="J45" s="17"/>
      <c r="K45" s="17"/>
      <c r="L45" s="14"/>
      <c r="M45" s="20"/>
      <c r="N45" s="18"/>
      <c r="O45" s="18"/>
      <c r="P45" s="18"/>
      <c r="Q45" s="18" t="str">
        <f aca="false">IFERROR(IF(maxifs('Production Log'!A:A,'Production Log'!B:B,A45)=0,"",maxifs('Production Log'!A:A,'Production Log'!B:B,A45)),"")</f>
        <v/>
      </c>
      <c r="R45" s="15"/>
      <c r="S45" s="18" t="str">
        <f aca="false">IF(E45="Completed","",IF(P45=0,"",P45))</f>
        <v/>
      </c>
      <c r="T45" s="19" t="str">
        <f aca="true">IF(S45="","",S45-TODAY())</f>
        <v/>
      </c>
    </row>
    <row r="46" customFormat="false" ht="15" hidden="false" customHeight="false" outlineLevel="0" collapsed="false">
      <c r="A46" s="14"/>
      <c r="B46" s="14"/>
      <c r="C46" s="15"/>
      <c r="D46" s="14"/>
      <c r="E46" s="14"/>
      <c r="F46" s="14"/>
      <c r="G46" s="14"/>
      <c r="H46" s="14"/>
      <c r="I46" s="15"/>
      <c r="J46" s="17"/>
      <c r="K46" s="17"/>
      <c r="L46" s="14"/>
      <c r="M46" s="20"/>
      <c r="N46" s="18"/>
      <c r="O46" s="18"/>
      <c r="P46" s="18"/>
      <c r="Q46" s="18" t="str">
        <f aca="false">IFERROR(IF(maxifs('Production Log'!A:A,'Production Log'!B:B,A46)=0,"",maxifs('Production Log'!A:A,'Production Log'!B:B,A46)),"")</f>
        <v/>
      </c>
      <c r="R46" s="15"/>
      <c r="S46" s="18" t="str">
        <f aca="false">IF(E46="Completed","",IF(P46=0,"",P46))</f>
        <v/>
      </c>
      <c r="T46" s="19" t="str">
        <f aca="true">IF(S46="","",S46-TODAY())</f>
        <v/>
      </c>
    </row>
    <row r="47" customFormat="false" ht="15" hidden="false" customHeight="false" outlineLevel="0" collapsed="false">
      <c r="A47" s="14"/>
      <c r="B47" s="14"/>
      <c r="C47" s="15"/>
      <c r="D47" s="14"/>
      <c r="E47" s="14"/>
      <c r="F47" s="14"/>
      <c r="G47" s="14"/>
      <c r="H47" s="14"/>
      <c r="I47" s="15"/>
      <c r="J47" s="17"/>
      <c r="K47" s="17"/>
      <c r="L47" s="14"/>
      <c r="M47" s="20"/>
      <c r="N47" s="18"/>
      <c r="O47" s="18"/>
      <c r="P47" s="18"/>
      <c r="Q47" s="18" t="str">
        <f aca="false">IFERROR(IF(maxifs('Production Log'!A:A,'Production Log'!B:B,A47)=0,"",maxifs('Production Log'!A:A,'Production Log'!B:B,A47)),"")</f>
        <v/>
      </c>
      <c r="R47" s="15"/>
      <c r="S47" s="18" t="str">
        <f aca="false">IF(E47="Completed","",IF(P47=0,"",P47))</f>
        <v/>
      </c>
      <c r="T47" s="19" t="str">
        <f aca="true">IF(S47="","",S47-TODAY())</f>
        <v/>
      </c>
    </row>
    <row r="48" customFormat="false" ht="15" hidden="false" customHeight="false" outlineLevel="0" collapsed="false">
      <c r="A48" s="14"/>
      <c r="B48" s="14"/>
      <c r="C48" s="15"/>
      <c r="D48" s="14"/>
      <c r="E48" s="14"/>
      <c r="F48" s="14"/>
      <c r="G48" s="14"/>
      <c r="H48" s="14"/>
      <c r="I48" s="15"/>
      <c r="J48" s="17"/>
      <c r="K48" s="17"/>
      <c r="L48" s="14"/>
      <c r="M48" s="20"/>
      <c r="N48" s="18"/>
      <c r="O48" s="18"/>
      <c r="P48" s="18"/>
      <c r="Q48" s="18" t="str">
        <f aca="false">IFERROR(IF(maxifs('Production Log'!A:A,'Production Log'!B:B,A48)=0,"",maxifs('Production Log'!A:A,'Production Log'!B:B,A48)),"")</f>
        <v/>
      </c>
      <c r="R48" s="15"/>
      <c r="S48" s="18" t="str">
        <f aca="false">IF(E48="Completed","",IF(P48=0,"",P48))</f>
        <v/>
      </c>
      <c r="T48" s="19" t="str">
        <f aca="true">IF(S48="","",S48-TODAY())</f>
        <v/>
      </c>
    </row>
    <row r="49" customFormat="false" ht="15" hidden="false" customHeight="false" outlineLevel="0" collapsed="false">
      <c r="A49" s="14"/>
      <c r="B49" s="14"/>
      <c r="C49" s="15"/>
      <c r="D49" s="14"/>
      <c r="E49" s="14"/>
      <c r="F49" s="14"/>
      <c r="G49" s="14"/>
      <c r="H49" s="14"/>
      <c r="I49" s="15"/>
      <c r="J49" s="17"/>
      <c r="K49" s="17"/>
      <c r="L49" s="14"/>
      <c r="M49" s="20"/>
      <c r="N49" s="18"/>
      <c r="O49" s="18"/>
      <c r="P49" s="18"/>
      <c r="Q49" s="18" t="str">
        <f aca="false">IFERROR(IF(maxifs('Production Log'!A:A,'Production Log'!B:B,A49)=0,"",maxifs('Production Log'!A:A,'Production Log'!B:B,A49)),"")</f>
        <v/>
      </c>
      <c r="R49" s="15"/>
      <c r="S49" s="18" t="str">
        <f aca="false">IF(E49="Completed","",IF(P49=0,"",P49))</f>
        <v/>
      </c>
      <c r="T49" s="19" t="str">
        <f aca="true">IF(S49="","",S49-TODAY())</f>
        <v/>
      </c>
    </row>
    <row r="50" customFormat="false" ht="15" hidden="false" customHeight="false" outlineLevel="0" collapsed="false">
      <c r="A50" s="14"/>
      <c r="B50" s="14"/>
      <c r="C50" s="15"/>
      <c r="D50" s="14"/>
      <c r="E50" s="14"/>
      <c r="F50" s="14"/>
      <c r="G50" s="14"/>
      <c r="H50" s="14"/>
      <c r="I50" s="15"/>
      <c r="J50" s="17"/>
      <c r="K50" s="17"/>
      <c r="L50" s="14"/>
      <c r="M50" s="20"/>
      <c r="N50" s="18"/>
      <c r="O50" s="18"/>
      <c r="P50" s="18"/>
      <c r="Q50" s="18" t="str">
        <f aca="false">IFERROR(IF(maxifs('Production Log'!A:A,'Production Log'!B:B,A50)=0,"",maxifs('Production Log'!A:A,'Production Log'!B:B,A50)),"")</f>
        <v/>
      </c>
      <c r="R50" s="15"/>
      <c r="S50" s="18" t="str">
        <f aca="false">IF(E50="Completed","",IF(P50=0,"",P50))</f>
        <v/>
      </c>
      <c r="T50" s="19" t="str">
        <f aca="true">IF(S50="","",S50-TODAY())</f>
        <v/>
      </c>
    </row>
    <row r="51" customFormat="false" ht="15" hidden="false" customHeight="false" outlineLevel="0" collapsed="false">
      <c r="A51" s="14"/>
      <c r="B51" s="14"/>
      <c r="C51" s="15"/>
      <c r="D51" s="14"/>
      <c r="E51" s="14"/>
      <c r="F51" s="14"/>
      <c r="G51" s="14"/>
      <c r="H51" s="14"/>
      <c r="I51" s="15"/>
      <c r="J51" s="17"/>
      <c r="K51" s="17"/>
      <c r="L51" s="14"/>
      <c r="M51" s="20"/>
      <c r="N51" s="18"/>
      <c r="O51" s="18"/>
      <c r="P51" s="18"/>
      <c r="Q51" s="18" t="str">
        <f aca="false">IFERROR(IF(maxifs('Production Log'!A:A,'Production Log'!B:B,A51)=0,"",maxifs('Production Log'!A:A,'Production Log'!B:B,A51)),"")</f>
        <v/>
      </c>
      <c r="R51" s="15"/>
      <c r="S51" s="18" t="str">
        <f aca="false">IF(E51="Completed","",IF(P51=0,"",P51))</f>
        <v/>
      </c>
      <c r="T51" s="19" t="str">
        <f aca="true">IF(S51="","",S51-TODAY())</f>
        <v/>
      </c>
    </row>
    <row r="52" customFormat="false" ht="15" hidden="false" customHeight="false" outlineLevel="0" collapsed="false">
      <c r="A52" s="14"/>
      <c r="B52" s="14"/>
      <c r="C52" s="15"/>
      <c r="D52" s="14"/>
      <c r="E52" s="14"/>
      <c r="F52" s="14"/>
      <c r="G52" s="14"/>
      <c r="H52" s="14"/>
      <c r="I52" s="15"/>
      <c r="J52" s="17"/>
      <c r="K52" s="17"/>
      <c r="L52" s="14"/>
      <c r="M52" s="20"/>
      <c r="N52" s="18"/>
      <c r="O52" s="18"/>
      <c r="P52" s="18"/>
      <c r="Q52" s="18" t="str">
        <f aca="false">IFERROR(IF(maxifs('Production Log'!A:A,'Production Log'!B:B,A52)=0,"",maxifs('Production Log'!A:A,'Production Log'!B:B,A52)),"")</f>
        <v/>
      </c>
      <c r="R52" s="15"/>
      <c r="S52" s="18" t="str">
        <f aca="false">IF(E52="Completed","",IF(P52=0,"",P52))</f>
        <v/>
      </c>
      <c r="T52" s="19" t="str">
        <f aca="true">IF(S52="","",S52-TODAY())</f>
        <v/>
      </c>
    </row>
    <row r="53" customFormat="false" ht="15" hidden="false" customHeight="false" outlineLevel="0" collapsed="false">
      <c r="A53" s="14"/>
      <c r="B53" s="14"/>
      <c r="C53" s="15"/>
      <c r="D53" s="14"/>
      <c r="E53" s="14"/>
      <c r="F53" s="14"/>
      <c r="G53" s="14"/>
      <c r="H53" s="14"/>
      <c r="I53" s="15"/>
      <c r="J53" s="17"/>
      <c r="K53" s="17"/>
      <c r="L53" s="14"/>
      <c r="M53" s="20"/>
      <c r="N53" s="18"/>
      <c r="O53" s="18"/>
      <c r="P53" s="18"/>
      <c r="Q53" s="18" t="str">
        <f aca="false">IFERROR(IF(maxifs('Production Log'!A:A,'Production Log'!B:B,A53)=0,"",maxifs('Production Log'!A:A,'Production Log'!B:B,A53)),"")</f>
        <v/>
      </c>
      <c r="R53" s="15"/>
      <c r="S53" s="18" t="str">
        <f aca="false">IF(E53="Completed","",IF(P53=0,"",P53))</f>
        <v/>
      </c>
      <c r="T53" s="19" t="str">
        <f aca="true">IF(S53="","",S53-TODAY())</f>
        <v/>
      </c>
    </row>
    <row r="54" customFormat="false" ht="15" hidden="false" customHeight="false" outlineLevel="0" collapsed="false">
      <c r="A54" s="14"/>
      <c r="B54" s="14"/>
      <c r="C54" s="15"/>
      <c r="D54" s="14"/>
      <c r="E54" s="14"/>
      <c r="F54" s="14"/>
      <c r="G54" s="14"/>
      <c r="H54" s="14"/>
      <c r="I54" s="15"/>
      <c r="J54" s="17"/>
      <c r="K54" s="17"/>
      <c r="L54" s="14"/>
      <c r="M54" s="20"/>
      <c r="N54" s="18"/>
      <c r="O54" s="18"/>
      <c r="P54" s="18"/>
      <c r="Q54" s="18" t="str">
        <f aca="false">IFERROR(IF(maxifs('Production Log'!A:A,'Production Log'!B:B,A54)=0,"",maxifs('Production Log'!A:A,'Production Log'!B:B,A54)),"")</f>
        <v/>
      </c>
      <c r="R54" s="15"/>
      <c r="S54" s="18" t="str">
        <f aca="false">IF(E54="Completed","",IF(P54=0,"",P54))</f>
        <v/>
      </c>
      <c r="T54" s="19" t="str">
        <f aca="true">IF(S54="","",S54-TODAY())</f>
        <v/>
      </c>
    </row>
    <row r="55" customFormat="false" ht="15" hidden="false" customHeight="false" outlineLevel="0" collapsed="false">
      <c r="A55" s="14"/>
      <c r="B55" s="14"/>
      <c r="C55" s="15"/>
      <c r="D55" s="14"/>
      <c r="E55" s="14"/>
      <c r="F55" s="14"/>
      <c r="G55" s="14"/>
      <c r="H55" s="14"/>
      <c r="I55" s="15"/>
      <c r="J55" s="17"/>
      <c r="K55" s="17"/>
      <c r="L55" s="14"/>
      <c r="M55" s="20"/>
      <c r="N55" s="18"/>
      <c r="O55" s="18"/>
      <c r="P55" s="18"/>
      <c r="Q55" s="18" t="str">
        <f aca="false">IFERROR(IF(maxifs('Production Log'!A:A,'Production Log'!B:B,A55)=0,"",maxifs('Production Log'!A:A,'Production Log'!B:B,A55)),"")</f>
        <v/>
      </c>
      <c r="R55" s="15"/>
      <c r="S55" s="18" t="str">
        <f aca="false">IF(E55="Completed","",IF(P55=0,"",P55))</f>
        <v/>
      </c>
      <c r="T55" s="19" t="str">
        <f aca="true">IF(S55="","",S55-TODAY())</f>
        <v/>
      </c>
    </row>
    <row r="56" customFormat="false" ht="15" hidden="false" customHeight="false" outlineLevel="0" collapsed="false">
      <c r="A56" s="14"/>
      <c r="B56" s="14"/>
      <c r="C56" s="15"/>
      <c r="D56" s="14"/>
      <c r="E56" s="14"/>
      <c r="F56" s="14"/>
      <c r="G56" s="14"/>
      <c r="H56" s="14"/>
      <c r="I56" s="15"/>
      <c r="J56" s="17"/>
      <c r="K56" s="17"/>
      <c r="L56" s="14"/>
      <c r="M56" s="20"/>
      <c r="N56" s="18"/>
      <c r="O56" s="18"/>
      <c r="P56" s="18"/>
      <c r="Q56" s="18" t="str">
        <f aca="false">IFERROR(IF(maxifs('Production Log'!A:A,'Production Log'!B:B,A56)=0,"",maxifs('Production Log'!A:A,'Production Log'!B:B,A56)),"")</f>
        <v/>
      </c>
      <c r="R56" s="15"/>
      <c r="S56" s="18" t="str">
        <f aca="false">IF(E56="Completed","",IF(P56=0,"",P56))</f>
        <v/>
      </c>
      <c r="T56" s="19" t="str">
        <f aca="true">IF(S56="","",S56-TODAY())</f>
        <v/>
      </c>
    </row>
    <row r="57" customFormat="false" ht="15" hidden="false" customHeight="false" outlineLevel="0" collapsed="false">
      <c r="A57" s="14"/>
      <c r="B57" s="14"/>
      <c r="C57" s="15"/>
      <c r="D57" s="14"/>
      <c r="E57" s="14"/>
      <c r="F57" s="14"/>
      <c r="G57" s="14"/>
      <c r="H57" s="14"/>
      <c r="I57" s="15"/>
      <c r="J57" s="17"/>
      <c r="K57" s="17"/>
      <c r="L57" s="14"/>
      <c r="M57" s="20"/>
      <c r="N57" s="18"/>
      <c r="O57" s="18"/>
      <c r="P57" s="18"/>
      <c r="Q57" s="18" t="str">
        <f aca="false">IFERROR(IF(maxifs('Production Log'!A:A,'Production Log'!B:B,A57)=0,"",maxifs('Production Log'!A:A,'Production Log'!B:B,A57)),"")</f>
        <v/>
      </c>
      <c r="R57" s="15"/>
      <c r="S57" s="18" t="str">
        <f aca="false">IF(E57="Completed","",IF(P57=0,"",P57))</f>
        <v/>
      </c>
      <c r="T57" s="19" t="str">
        <f aca="true">IF(S57="","",S57-TODAY())</f>
        <v/>
      </c>
    </row>
    <row r="58" customFormat="false" ht="15" hidden="false" customHeight="false" outlineLevel="0" collapsed="false">
      <c r="A58" s="14"/>
      <c r="B58" s="14"/>
      <c r="C58" s="15"/>
      <c r="D58" s="14"/>
      <c r="E58" s="14"/>
      <c r="F58" s="14"/>
      <c r="G58" s="14"/>
      <c r="H58" s="14"/>
      <c r="I58" s="15"/>
      <c r="J58" s="17"/>
      <c r="K58" s="17"/>
      <c r="L58" s="14"/>
      <c r="M58" s="20"/>
      <c r="N58" s="18"/>
      <c r="O58" s="18"/>
      <c r="P58" s="18"/>
      <c r="Q58" s="18" t="str">
        <f aca="false">IFERROR(IF(maxifs('Production Log'!A:A,'Production Log'!B:B,A58)=0,"",maxifs('Production Log'!A:A,'Production Log'!B:B,A58)),"")</f>
        <v/>
      </c>
      <c r="R58" s="15"/>
      <c r="S58" s="18" t="str">
        <f aca="false">IF(E58="Completed","",IF(P58=0,"",P58))</f>
        <v/>
      </c>
      <c r="T58" s="19" t="str">
        <f aca="true">IF(S58="","",S58-TODAY())</f>
        <v/>
      </c>
    </row>
    <row r="59" customFormat="false" ht="15" hidden="false" customHeight="false" outlineLevel="0" collapsed="false">
      <c r="A59" s="14"/>
      <c r="B59" s="14"/>
      <c r="C59" s="15"/>
      <c r="D59" s="14"/>
      <c r="E59" s="14"/>
      <c r="F59" s="14"/>
      <c r="G59" s="14"/>
      <c r="H59" s="14"/>
      <c r="I59" s="15"/>
      <c r="J59" s="17"/>
      <c r="K59" s="17"/>
      <c r="L59" s="14"/>
      <c r="M59" s="20"/>
      <c r="N59" s="18"/>
      <c r="O59" s="18"/>
      <c r="P59" s="18"/>
      <c r="Q59" s="18" t="str">
        <f aca="false">IFERROR(IF(maxifs('Production Log'!A:A,'Production Log'!B:B,A59)=0,"",maxifs('Production Log'!A:A,'Production Log'!B:B,A59)),"")</f>
        <v/>
      </c>
      <c r="R59" s="15"/>
      <c r="S59" s="18" t="str">
        <f aca="false">IF(E59="Completed","",IF(P59=0,"",P59))</f>
        <v/>
      </c>
      <c r="T59" s="19" t="str">
        <f aca="true">IF(S59="","",S59-TODAY())</f>
        <v/>
      </c>
    </row>
    <row r="60" customFormat="false" ht="15" hidden="false" customHeight="false" outlineLevel="0" collapsed="false">
      <c r="A60" s="14"/>
      <c r="B60" s="14"/>
      <c r="C60" s="15"/>
      <c r="D60" s="14"/>
      <c r="E60" s="14"/>
      <c r="F60" s="14"/>
      <c r="G60" s="14"/>
      <c r="H60" s="14"/>
      <c r="I60" s="15"/>
      <c r="J60" s="17"/>
      <c r="K60" s="17"/>
      <c r="L60" s="14"/>
      <c r="M60" s="20"/>
      <c r="N60" s="18"/>
      <c r="O60" s="18"/>
      <c r="P60" s="18"/>
      <c r="Q60" s="18" t="str">
        <f aca="false">IFERROR(IF(maxifs('Production Log'!A:A,'Production Log'!B:B,A60)=0,"",maxifs('Production Log'!A:A,'Production Log'!B:B,A60)),"")</f>
        <v/>
      </c>
      <c r="R60" s="15"/>
      <c r="S60" s="18" t="str">
        <f aca="false">IF(E60="Completed","",IF(P60=0,"",P60))</f>
        <v/>
      </c>
      <c r="T60" s="19" t="str">
        <f aca="true">IF(S60="","",S60-TODAY())</f>
        <v/>
      </c>
    </row>
    <row r="61" customFormat="false" ht="15" hidden="false" customHeight="false" outlineLevel="0" collapsed="false">
      <c r="A61" s="14"/>
      <c r="B61" s="14"/>
      <c r="C61" s="15"/>
      <c r="D61" s="14"/>
      <c r="E61" s="14"/>
      <c r="F61" s="14"/>
      <c r="G61" s="14"/>
      <c r="H61" s="14"/>
      <c r="I61" s="15"/>
      <c r="J61" s="17"/>
      <c r="K61" s="17"/>
      <c r="L61" s="14"/>
      <c r="M61" s="20"/>
      <c r="N61" s="18"/>
      <c r="O61" s="18"/>
      <c r="P61" s="18"/>
      <c r="Q61" s="18" t="str">
        <f aca="false">IFERROR(IF(maxifs('Production Log'!A:A,'Production Log'!B:B,A61)=0,"",maxifs('Production Log'!A:A,'Production Log'!B:B,A61)),"")</f>
        <v/>
      </c>
      <c r="R61" s="15"/>
      <c r="S61" s="18" t="str">
        <f aca="false">IF(E61="Completed","",IF(P61=0,"",P61))</f>
        <v/>
      </c>
      <c r="T61" s="19" t="str">
        <f aca="true">IF(S61="","",S61-TODAY())</f>
        <v/>
      </c>
    </row>
    <row r="62" customFormat="false" ht="15" hidden="false" customHeight="false" outlineLevel="0" collapsed="false">
      <c r="A62" s="14"/>
      <c r="B62" s="14"/>
      <c r="C62" s="15"/>
      <c r="D62" s="14"/>
      <c r="E62" s="14"/>
      <c r="F62" s="14"/>
      <c r="G62" s="14"/>
      <c r="H62" s="14"/>
      <c r="I62" s="15"/>
      <c r="J62" s="17"/>
      <c r="K62" s="17"/>
      <c r="L62" s="14"/>
      <c r="M62" s="20"/>
      <c r="N62" s="18"/>
      <c r="O62" s="18"/>
      <c r="P62" s="18"/>
      <c r="Q62" s="18" t="str">
        <f aca="false">IFERROR(IF(maxifs('Production Log'!A:A,'Production Log'!B:B,A62)=0,"",maxifs('Production Log'!A:A,'Production Log'!B:B,A62)),"")</f>
        <v/>
      </c>
      <c r="R62" s="15"/>
      <c r="S62" s="18" t="str">
        <f aca="false">IF(E62="Completed","",IF(P62=0,"",P62))</f>
        <v/>
      </c>
      <c r="T62" s="19" t="str">
        <f aca="true">IF(S62="","",S62-TODAY())</f>
        <v/>
      </c>
    </row>
  </sheetData>
  <autoFilter ref="A12:R62"/>
  <mergeCells count="2">
    <mergeCell ref="A1:I1"/>
    <mergeCell ref="A2:I2"/>
  </mergeCells>
  <conditionalFormatting sqref="E13:E62">
    <cfRule type="expression" priority="2" aboveAverage="0" equalAverage="0" bottom="0" percent="0" rank="0" text="" dxfId="17">
      <formula>EXACT($E13,"1. Customer PO Received")</formula>
    </cfRule>
    <cfRule type="expression" priority="3" aboveAverage="0" equalAverage="0" bottom="0" percent="0" rank="0" text="" dxfId="18">
      <formula>EXACT($E13,"2. PO Issued to Molder")</formula>
    </cfRule>
    <cfRule type="expression" priority="4" aboveAverage="0" equalAverage="0" bottom="0" percent="0" rank="0" text="" dxfId="21">
      <formula>EXACT($E13,"3. Production &amp; Shipping")</formula>
    </cfRule>
    <cfRule type="expression" priority="5" aboveAverage="0" equalAverage="0" bottom="0" percent="0" rank="0" text="" dxfId="22">
      <formula>EXACT($E13,"Completed")</formula>
    </cfRule>
  </conditionalFormatting>
  <conditionalFormatting sqref="T13:T62">
    <cfRule type="cellIs" priority="6" operator="lessThan" aboveAverage="0" equalAverage="0" bottom="0" percent="0" rank="0" text="" dxfId="24">
      <formula>0</formula>
    </cfRule>
    <cfRule type="cellIs" priority="7" operator="between" aboveAverage="0" equalAverage="0" bottom="0" percent="0" rank="0" text="" dxfId="25">
      <formula>0</formula>
      <formula>7</formula>
    </cfRule>
    <cfRule type="cellIs" priority="8" operator="greaterThan" aboveAverage="0" equalAverage="0" bottom="0" percent="0" rank="0" text="" dxfId="26">
      <formula>7</formula>
    </cfRule>
  </conditionalFormatting>
  <conditionalFormatting sqref="A13:R62">
    <cfRule type="expression" priority="9" aboveAverage="0" equalAverage="0" bottom="0" percent="0" rank="0" text="" dxfId="14">
      <formula>$E13="Completed"</formula>
    </cfRule>
    <cfRule type="expression" priority="10" aboveAverage="0" equalAverage="0" bottom="0" percent="0" rank="0" text="" dxfId="27">
      <formula>AND($T13&lt;&gt;"",$T13&lt;0,$E13&lt;&gt;"Completed")</formula>
    </cfRule>
  </conditionalFormatting>
  <dataValidations count="4">
    <dataValidation allowBlank="true" errorStyle="stop" operator="between" showDropDown="false" showErrorMessage="false" showInputMessage="false" sqref="E13:E62" type="list">
      <formula1>"1. Customer PO Received,2. PO Issued to Molder,3. Production &amp; Shipping,Completed"</formula1>
      <formula2>0</formula2>
    </dataValidation>
    <dataValidation allowBlank="true" errorStyle="stop" operator="between" showDropDown="false" showErrorMessage="false" showInputMessage="false" sqref="L13:L62" type="list">
      <formula1>MoldList</formula1>
      <formula2>0</formula2>
    </dataValidation>
    <dataValidation allowBlank="true" errorStyle="stop" operator="between" showDropDown="false" showErrorMessage="false" showInputMessage="false" sqref="B13:B62" type="list">
      <formula1>CustomerList</formula1>
      <formula2>0</formula2>
    </dataValidation>
    <dataValidation allowBlank="true" errorStyle="stop" operator="between" showDropDown="false" showErrorMessage="false" showInputMessage="false" sqref="D13:D62" type="list">
      <formula1>MolderList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I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24"/>
    <col collapsed="false" customWidth="true" hidden="false" outlineLevel="0" max="3" min="3" style="0" width="20"/>
    <col collapsed="false" customWidth="true" hidden="false" outlineLevel="0" max="4" min="4" style="0" width="26"/>
    <col collapsed="false" customWidth="true" hidden="false" outlineLevel="0" max="5" min="5" style="0" width="15"/>
    <col collapsed="false" customWidth="true" hidden="false" outlineLevel="0" max="7" min="6" style="0" width="30"/>
    <col collapsed="false" customWidth="true" hidden="false" outlineLevel="0" max="8" min="8" style="0" width="14"/>
    <col collapsed="false" customWidth="true" hidden="false" outlineLevel="0" max="9" min="9" style="0" width="28"/>
  </cols>
  <sheetData>
    <row r="1" customFormat="false" ht="27.75" hidden="false" customHeight="true" outlineLevel="0" collapsed="false">
      <c r="A1" s="12" t="s">
        <v>87</v>
      </c>
      <c r="B1" s="12" t="s">
        <v>88</v>
      </c>
      <c r="C1" s="12" t="s">
        <v>89</v>
      </c>
      <c r="D1" s="12" t="s">
        <v>90</v>
      </c>
      <c r="E1" s="12" t="s">
        <v>91</v>
      </c>
      <c r="F1" s="12" t="s">
        <v>92</v>
      </c>
      <c r="G1" s="12" t="s">
        <v>93</v>
      </c>
      <c r="H1" s="12" t="s">
        <v>94</v>
      </c>
      <c r="I1" s="12" t="s">
        <v>30</v>
      </c>
    </row>
    <row r="2" customFormat="false" ht="15" hidden="false" customHeight="false" outlineLevel="0" collapsed="false">
      <c r="A2" s="15" t="s">
        <v>95</v>
      </c>
      <c r="B2" s="15" t="s">
        <v>34</v>
      </c>
      <c r="C2" s="15" t="s">
        <v>96</v>
      </c>
      <c r="D2" s="15" t="s">
        <v>97</v>
      </c>
      <c r="E2" s="15" t="s">
        <v>98</v>
      </c>
      <c r="F2" s="15" t="s">
        <v>99</v>
      </c>
      <c r="G2" s="15" t="s">
        <v>100</v>
      </c>
      <c r="H2" s="15" t="s">
        <v>101</v>
      </c>
      <c r="I2" s="15" t="s">
        <v>102</v>
      </c>
    </row>
    <row r="3" customFormat="false" ht="15" hidden="false" customHeight="false" outlineLevel="0" collapsed="false">
      <c r="A3" s="15" t="s">
        <v>103</v>
      </c>
      <c r="B3" s="15" t="s">
        <v>41</v>
      </c>
      <c r="C3" s="15" t="s">
        <v>104</v>
      </c>
      <c r="D3" s="15" t="s">
        <v>105</v>
      </c>
      <c r="E3" s="15" t="s">
        <v>106</v>
      </c>
      <c r="F3" s="15" t="s">
        <v>107</v>
      </c>
      <c r="G3" s="15" t="s">
        <v>107</v>
      </c>
      <c r="H3" s="15" t="s">
        <v>108</v>
      </c>
      <c r="I3" s="15" t="s">
        <v>109</v>
      </c>
    </row>
    <row r="4" customFormat="false" ht="15" hidden="false" customHeight="false" outlineLevel="0" collapsed="false">
      <c r="A4" s="15" t="s">
        <v>110</v>
      </c>
      <c r="B4" s="15" t="s">
        <v>66</v>
      </c>
      <c r="C4" s="15" t="s">
        <v>111</v>
      </c>
      <c r="D4" s="15" t="s">
        <v>112</v>
      </c>
      <c r="E4" s="15" t="s">
        <v>113</v>
      </c>
      <c r="F4" s="15" t="s">
        <v>114</v>
      </c>
      <c r="G4" s="15" t="s">
        <v>115</v>
      </c>
      <c r="H4" s="15" t="s">
        <v>101</v>
      </c>
      <c r="I4" s="15" t="s">
        <v>116</v>
      </c>
    </row>
    <row r="5" customFormat="false" ht="15" hidden="false" customHeight="false" outlineLevel="0" collapsed="false">
      <c r="A5" s="15" t="s">
        <v>117</v>
      </c>
      <c r="B5" s="15" t="s">
        <v>49</v>
      </c>
      <c r="C5" s="15" t="s">
        <v>118</v>
      </c>
      <c r="D5" s="15" t="s">
        <v>119</v>
      </c>
      <c r="E5" s="15" t="s">
        <v>120</v>
      </c>
      <c r="F5" s="15" t="s">
        <v>121</v>
      </c>
      <c r="G5" s="15" t="s">
        <v>100</v>
      </c>
      <c r="H5" s="15" t="s">
        <v>122</v>
      </c>
      <c r="I5" s="15" t="s">
        <v>123</v>
      </c>
    </row>
    <row r="6" customFormat="false" ht="15" hidden="false" customHeight="false" outlineLevel="0" collapsed="false">
      <c r="A6" s="15"/>
      <c r="B6" s="15"/>
      <c r="C6" s="15"/>
      <c r="D6" s="15"/>
      <c r="E6" s="15"/>
      <c r="F6" s="15"/>
      <c r="G6" s="15"/>
      <c r="H6" s="15"/>
      <c r="I6" s="15"/>
    </row>
    <row r="7" customFormat="false" ht="15" hidden="false" customHeight="false" outlineLevel="0" collapsed="false">
      <c r="A7" s="15"/>
      <c r="B7" s="15"/>
      <c r="C7" s="15"/>
      <c r="D7" s="15"/>
      <c r="E7" s="15"/>
      <c r="F7" s="15"/>
      <c r="G7" s="15"/>
      <c r="H7" s="15"/>
      <c r="I7" s="15"/>
    </row>
    <row r="8" customFormat="false" ht="15" hidden="false" customHeight="false" outlineLevel="0" collapsed="false">
      <c r="A8" s="15"/>
      <c r="B8" s="15"/>
      <c r="C8" s="15"/>
      <c r="D8" s="15"/>
      <c r="E8" s="15"/>
      <c r="F8" s="15"/>
      <c r="G8" s="15"/>
      <c r="H8" s="15"/>
      <c r="I8" s="15"/>
    </row>
    <row r="9" customFormat="false" ht="15" hidden="false" customHeight="false" outlineLevel="0" collapsed="false">
      <c r="A9" s="15"/>
      <c r="B9" s="15"/>
      <c r="C9" s="15"/>
      <c r="D9" s="15"/>
      <c r="E9" s="15"/>
      <c r="F9" s="15"/>
      <c r="G9" s="15"/>
      <c r="H9" s="15"/>
      <c r="I9" s="15"/>
    </row>
    <row r="10" customFormat="false" ht="15" hidden="false" customHeight="false" outlineLevel="0" collapsed="false">
      <c r="A10" s="15"/>
      <c r="B10" s="15"/>
      <c r="C10" s="15"/>
      <c r="D10" s="15"/>
      <c r="E10" s="15"/>
      <c r="F10" s="15"/>
      <c r="G10" s="15"/>
      <c r="H10" s="15"/>
      <c r="I10" s="15"/>
    </row>
    <row r="11" customFormat="false" ht="15" hidden="false" customHeight="false" outlineLevel="0" collapsed="false">
      <c r="A11" s="15"/>
      <c r="B11" s="15"/>
      <c r="C11" s="15"/>
      <c r="D11" s="15"/>
      <c r="E11" s="15"/>
      <c r="F11" s="15"/>
      <c r="G11" s="15"/>
      <c r="H11" s="15"/>
      <c r="I11" s="15"/>
    </row>
    <row r="12" customFormat="false" ht="15" hidden="false" customHeight="false" outlineLevel="0" collapsed="false">
      <c r="A12" s="15"/>
      <c r="B12" s="15"/>
      <c r="C12" s="15"/>
      <c r="D12" s="15"/>
      <c r="E12" s="15"/>
      <c r="F12" s="15"/>
      <c r="G12" s="15"/>
      <c r="H12" s="15"/>
      <c r="I12" s="15"/>
    </row>
    <row r="13" customFormat="false" ht="15" hidden="false" customHeight="false" outlineLevel="0" collapsed="false">
      <c r="A13" s="15"/>
      <c r="B13" s="15"/>
      <c r="C13" s="15"/>
      <c r="D13" s="15"/>
      <c r="E13" s="15"/>
      <c r="F13" s="15"/>
      <c r="G13" s="15"/>
      <c r="H13" s="15"/>
      <c r="I13" s="15"/>
    </row>
    <row r="14" customFormat="false" ht="15" hidden="false" customHeight="false" outlineLevel="0" collapsed="false">
      <c r="A14" s="15"/>
      <c r="B14" s="15"/>
      <c r="C14" s="15"/>
      <c r="D14" s="15"/>
      <c r="E14" s="15"/>
      <c r="F14" s="15"/>
      <c r="G14" s="15"/>
      <c r="H14" s="15"/>
      <c r="I14" s="15"/>
    </row>
    <row r="15" customFormat="false" ht="15" hidden="false" customHeight="false" outlineLevel="0" collapsed="false">
      <c r="A15" s="15"/>
      <c r="B15" s="15"/>
      <c r="C15" s="15"/>
      <c r="D15" s="15"/>
      <c r="E15" s="15"/>
      <c r="F15" s="15"/>
      <c r="G15" s="15"/>
      <c r="H15" s="15"/>
      <c r="I15" s="15"/>
    </row>
    <row r="16" customFormat="false" ht="15" hidden="false" customHeight="false" outlineLevel="0" collapsed="false">
      <c r="A16" s="15"/>
      <c r="B16" s="15"/>
      <c r="C16" s="15"/>
      <c r="D16" s="15"/>
      <c r="E16" s="15"/>
      <c r="F16" s="15"/>
      <c r="G16" s="15"/>
      <c r="H16" s="15"/>
      <c r="I16" s="15"/>
    </row>
    <row r="17" customFormat="false" ht="15" hidden="false" customHeight="false" outlineLevel="0" collapsed="false">
      <c r="A17" s="15"/>
      <c r="B17" s="15"/>
      <c r="C17" s="15"/>
      <c r="D17" s="15"/>
      <c r="E17" s="15"/>
      <c r="F17" s="15"/>
      <c r="G17" s="15"/>
      <c r="H17" s="15"/>
      <c r="I17" s="15"/>
    </row>
    <row r="18" customFormat="false" ht="15" hidden="false" customHeight="false" outlineLevel="0" collapsed="false">
      <c r="A18" s="15"/>
      <c r="B18" s="15"/>
      <c r="C18" s="15"/>
      <c r="D18" s="15"/>
      <c r="E18" s="15"/>
      <c r="F18" s="15"/>
      <c r="G18" s="15"/>
      <c r="H18" s="15"/>
      <c r="I18" s="15"/>
    </row>
    <row r="19" customFormat="false" ht="15" hidden="false" customHeight="false" outlineLevel="0" collapsed="false">
      <c r="A19" s="15"/>
      <c r="B19" s="15"/>
      <c r="C19" s="15"/>
      <c r="D19" s="15"/>
      <c r="E19" s="15"/>
      <c r="F19" s="15"/>
      <c r="G19" s="15"/>
      <c r="H19" s="15"/>
      <c r="I19" s="15"/>
    </row>
    <row r="20" customFormat="false" ht="15" hidden="false" customHeight="false" outlineLevel="0" collapsed="false">
      <c r="A20" s="15"/>
      <c r="B20" s="15"/>
      <c r="C20" s="15"/>
      <c r="D20" s="15"/>
      <c r="E20" s="15"/>
      <c r="F20" s="15"/>
      <c r="G20" s="15"/>
      <c r="H20" s="15"/>
      <c r="I20" s="15"/>
    </row>
    <row r="21" customFormat="false" ht="15" hidden="false" customHeight="false" outlineLevel="0" collapsed="false">
      <c r="A21" s="15"/>
      <c r="B21" s="15"/>
      <c r="C21" s="15"/>
      <c r="D21" s="15"/>
      <c r="E21" s="15"/>
      <c r="F21" s="15"/>
      <c r="G21" s="15"/>
      <c r="H21" s="15"/>
      <c r="I21" s="15"/>
    </row>
    <row r="22" customFormat="false" ht="15" hidden="false" customHeight="false" outlineLevel="0" collapsed="false">
      <c r="A22" s="15"/>
      <c r="B22" s="15"/>
      <c r="C22" s="15"/>
      <c r="D22" s="15"/>
      <c r="E22" s="15"/>
      <c r="F22" s="15"/>
      <c r="G22" s="15"/>
      <c r="H22" s="15"/>
      <c r="I22" s="15"/>
    </row>
    <row r="23" customFormat="false" ht="15" hidden="false" customHeight="false" outlineLevel="0" collapsed="false">
      <c r="A23" s="15"/>
      <c r="B23" s="15"/>
      <c r="C23" s="15"/>
      <c r="D23" s="15"/>
      <c r="E23" s="15"/>
      <c r="F23" s="15"/>
      <c r="G23" s="15"/>
      <c r="H23" s="15"/>
      <c r="I23" s="15"/>
    </row>
    <row r="24" customFormat="false" ht="15" hidden="false" customHeight="false" outlineLevel="0" collapsed="false">
      <c r="A24" s="15"/>
      <c r="B24" s="15"/>
      <c r="C24" s="15"/>
      <c r="D24" s="15"/>
      <c r="E24" s="15"/>
      <c r="F24" s="15"/>
      <c r="G24" s="15"/>
      <c r="H24" s="15"/>
      <c r="I24" s="15"/>
    </row>
    <row r="25" customFormat="false" ht="15" hidden="false" customHeight="false" outlineLevel="0" collapsed="false">
      <c r="A25" s="15"/>
      <c r="B25" s="15"/>
      <c r="C25" s="15"/>
      <c r="D25" s="15"/>
      <c r="E25" s="15"/>
      <c r="F25" s="15"/>
      <c r="G25" s="15"/>
      <c r="H25" s="15"/>
      <c r="I25" s="15"/>
    </row>
    <row r="26" customFormat="false" ht="15" hidden="false" customHeight="false" outlineLevel="0" collapsed="false">
      <c r="A26" s="15"/>
      <c r="B26" s="15"/>
      <c r="C26" s="15"/>
      <c r="D26" s="15"/>
      <c r="E26" s="15"/>
      <c r="F26" s="15"/>
      <c r="G26" s="15"/>
      <c r="H26" s="15"/>
      <c r="I26" s="15"/>
    </row>
    <row r="27" customFormat="false" ht="15" hidden="false" customHeight="false" outlineLevel="0" collapsed="false">
      <c r="A27" s="15"/>
      <c r="B27" s="15"/>
      <c r="C27" s="15"/>
      <c r="D27" s="15"/>
      <c r="E27" s="15"/>
      <c r="F27" s="15"/>
      <c r="G27" s="15"/>
      <c r="H27" s="15"/>
      <c r="I27" s="15"/>
    </row>
    <row r="28" customFormat="false" ht="15" hidden="false" customHeight="false" outlineLevel="0" collapsed="false">
      <c r="A28" s="15"/>
      <c r="B28" s="15"/>
      <c r="C28" s="15"/>
      <c r="D28" s="15"/>
      <c r="E28" s="15"/>
      <c r="F28" s="15"/>
      <c r="G28" s="15"/>
      <c r="H28" s="15"/>
      <c r="I28" s="15"/>
    </row>
    <row r="29" customFormat="false" ht="15" hidden="false" customHeight="false" outlineLevel="0" collapsed="false">
      <c r="A29" s="15"/>
      <c r="B29" s="15"/>
      <c r="C29" s="15"/>
      <c r="D29" s="15"/>
      <c r="E29" s="15"/>
      <c r="F29" s="15"/>
      <c r="G29" s="15"/>
      <c r="H29" s="15"/>
      <c r="I29" s="15"/>
    </row>
    <row r="30" customFormat="false" ht="15" hidden="false" customHeight="false" outlineLevel="0" collapsed="false">
      <c r="A30" s="15"/>
      <c r="B30" s="15"/>
      <c r="C30" s="15"/>
      <c r="D30" s="15"/>
      <c r="E30" s="15"/>
      <c r="F30" s="15"/>
      <c r="G30" s="15"/>
      <c r="H30" s="15"/>
      <c r="I30" s="15"/>
    </row>
    <row r="31" customFormat="false" ht="15" hidden="false" customHeight="false" outlineLevel="0" collapsed="false">
      <c r="A31" s="15"/>
      <c r="B31" s="15"/>
      <c r="C31" s="15"/>
      <c r="D31" s="15"/>
      <c r="E31" s="15"/>
      <c r="F31" s="15"/>
      <c r="G31" s="15"/>
      <c r="H31" s="15"/>
      <c r="I31" s="15"/>
    </row>
    <row r="32" customFormat="false" ht="15" hidden="false" customHeight="false" outlineLevel="0" collapsed="false">
      <c r="A32" s="15"/>
      <c r="B32" s="15"/>
      <c r="C32" s="15"/>
      <c r="D32" s="15"/>
      <c r="E32" s="15"/>
      <c r="F32" s="15"/>
      <c r="G32" s="15"/>
      <c r="H32" s="15"/>
      <c r="I32" s="15"/>
    </row>
    <row r="33" customFormat="false" ht="15" hidden="false" customHeight="false" outlineLevel="0" collapsed="false">
      <c r="A33" s="15"/>
      <c r="B33" s="15"/>
      <c r="C33" s="15"/>
      <c r="D33" s="15"/>
      <c r="E33" s="15"/>
      <c r="F33" s="15"/>
      <c r="G33" s="15"/>
      <c r="H33" s="15"/>
      <c r="I33" s="15"/>
    </row>
    <row r="34" customFormat="false" ht="15" hidden="false" customHeight="false" outlineLevel="0" collapsed="false">
      <c r="A34" s="15"/>
      <c r="B34" s="15"/>
      <c r="C34" s="15"/>
      <c r="D34" s="15"/>
      <c r="E34" s="15"/>
      <c r="F34" s="15"/>
      <c r="G34" s="15"/>
      <c r="H34" s="15"/>
      <c r="I34" s="15"/>
    </row>
    <row r="35" customFormat="false" ht="15" hidden="false" customHeight="false" outlineLevel="0" collapsed="false">
      <c r="A35" s="15"/>
      <c r="B35" s="15"/>
      <c r="C35" s="15"/>
      <c r="D35" s="15"/>
      <c r="E35" s="15"/>
      <c r="F35" s="15"/>
      <c r="G35" s="15"/>
      <c r="H35" s="15"/>
      <c r="I35" s="15"/>
    </row>
    <row r="36" customFormat="false" ht="15" hidden="false" customHeight="false" outlineLevel="0" collapsed="false">
      <c r="A36" s="15"/>
      <c r="B36" s="15"/>
      <c r="C36" s="15"/>
      <c r="D36" s="15"/>
      <c r="E36" s="15"/>
      <c r="F36" s="15"/>
      <c r="G36" s="15"/>
      <c r="H36" s="15"/>
      <c r="I36" s="15"/>
    </row>
    <row r="37" customFormat="false" ht="15" hidden="false" customHeight="false" outlineLevel="0" collapsed="false">
      <c r="A37" s="15"/>
      <c r="B37" s="15"/>
      <c r="C37" s="15"/>
      <c r="D37" s="15"/>
      <c r="E37" s="15"/>
      <c r="F37" s="15"/>
      <c r="G37" s="15"/>
      <c r="H37" s="15"/>
      <c r="I37" s="15"/>
    </row>
    <row r="38" customFormat="false" ht="15" hidden="false" customHeight="false" outlineLevel="0" collapsed="false">
      <c r="A38" s="15"/>
      <c r="B38" s="15"/>
      <c r="C38" s="15"/>
      <c r="D38" s="15"/>
      <c r="E38" s="15"/>
      <c r="F38" s="15"/>
      <c r="G38" s="15"/>
      <c r="H38" s="15"/>
      <c r="I38" s="15"/>
    </row>
    <row r="39" customFormat="false" ht="15" hidden="false" customHeight="false" outlineLevel="0" collapsed="false">
      <c r="A39" s="15"/>
      <c r="B39" s="15"/>
      <c r="C39" s="15"/>
      <c r="D39" s="15"/>
      <c r="E39" s="15"/>
      <c r="F39" s="15"/>
      <c r="G39" s="15"/>
      <c r="H39" s="15"/>
      <c r="I39" s="15"/>
    </row>
    <row r="40" customFormat="false" ht="15" hidden="false" customHeight="false" outlineLevel="0" collapsed="false">
      <c r="A40" s="15"/>
      <c r="B40" s="15"/>
      <c r="C40" s="15"/>
      <c r="D40" s="15"/>
      <c r="E40" s="15"/>
      <c r="F40" s="15"/>
      <c r="G40" s="15"/>
      <c r="H40" s="15"/>
      <c r="I40" s="15"/>
    </row>
    <row r="41" customFormat="false" ht="15" hidden="false" customHeight="false" outlineLevel="0" collapsed="false">
      <c r="A41" s="15"/>
      <c r="B41" s="15"/>
      <c r="C41" s="15"/>
      <c r="D41" s="15"/>
      <c r="E41" s="15"/>
      <c r="F41" s="15"/>
      <c r="G41" s="15"/>
      <c r="H41" s="15"/>
      <c r="I41" s="15"/>
    </row>
    <row r="42" customFormat="false" ht="15" hidden="false" customHeight="false" outlineLevel="0" collapsed="false">
      <c r="A42" s="15"/>
      <c r="B42" s="15"/>
      <c r="C42" s="15"/>
      <c r="D42" s="15"/>
      <c r="E42" s="15"/>
      <c r="F42" s="15"/>
      <c r="G42" s="15"/>
      <c r="H42" s="15"/>
      <c r="I42" s="15"/>
    </row>
    <row r="43" customFormat="false" ht="15" hidden="false" customHeight="false" outlineLevel="0" collapsed="false">
      <c r="A43" s="15"/>
      <c r="B43" s="15"/>
      <c r="C43" s="15"/>
      <c r="D43" s="15"/>
      <c r="E43" s="15"/>
      <c r="F43" s="15"/>
      <c r="G43" s="15"/>
      <c r="H43" s="15"/>
      <c r="I43" s="15"/>
    </row>
    <row r="44" customFormat="false" ht="15" hidden="false" customHeight="false" outlineLevel="0" collapsed="false">
      <c r="A44" s="15"/>
      <c r="B44" s="15"/>
      <c r="C44" s="15"/>
      <c r="D44" s="15"/>
      <c r="E44" s="15"/>
      <c r="F44" s="15"/>
      <c r="G44" s="15"/>
      <c r="H44" s="15"/>
      <c r="I44" s="15"/>
    </row>
    <row r="45" customFormat="false" ht="15" hidden="false" customHeight="false" outlineLevel="0" collapsed="false">
      <c r="A45" s="15"/>
      <c r="B45" s="15"/>
      <c r="C45" s="15"/>
      <c r="D45" s="15"/>
      <c r="E45" s="15"/>
      <c r="F45" s="15"/>
      <c r="G45" s="15"/>
      <c r="H45" s="15"/>
      <c r="I45" s="15"/>
    </row>
    <row r="46" customFormat="false" ht="15" hidden="false" customHeight="false" outlineLevel="0" collapsed="false">
      <c r="A46" s="15"/>
      <c r="B46" s="15"/>
      <c r="C46" s="15"/>
      <c r="D46" s="15"/>
      <c r="E46" s="15"/>
      <c r="F46" s="15"/>
      <c r="G46" s="15"/>
      <c r="H46" s="15"/>
      <c r="I46" s="15"/>
    </row>
    <row r="47" customFormat="false" ht="15" hidden="false" customHeight="false" outlineLevel="0" collapsed="false">
      <c r="A47" s="15"/>
      <c r="B47" s="15"/>
      <c r="C47" s="15"/>
      <c r="D47" s="15"/>
      <c r="E47" s="15"/>
      <c r="F47" s="15"/>
      <c r="G47" s="15"/>
      <c r="H47" s="15"/>
      <c r="I47" s="15"/>
    </row>
    <row r="48" customFormat="false" ht="15" hidden="false" customHeight="false" outlineLevel="0" collapsed="false">
      <c r="A48" s="15"/>
      <c r="B48" s="15"/>
      <c r="C48" s="15"/>
      <c r="D48" s="15"/>
      <c r="E48" s="15"/>
      <c r="F48" s="15"/>
      <c r="G48" s="15"/>
      <c r="H48" s="15"/>
      <c r="I48" s="15"/>
    </row>
    <row r="49" customFormat="false" ht="15" hidden="false" customHeight="false" outlineLevel="0" collapsed="false">
      <c r="A49" s="15"/>
      <c r="B49" s="15"/>
      <c r="C49" s="15"/>
      <c r="D49" s="15"/>
      <c r="E49" s="15"/>
      <c r="F49" s="15"/>
      <c r="G49" s="15"/>
      <c r="H49" s="15"/>
      <c r="I49" s="15"/>
    </row>
    <row r="50" customFormat="false" ht="15" hidden="false" customHeight="false" outlineLevel="0" collapsed="false">
      <c r="A50" s="15"/>
      <c r="B50" s="15"/>
      <c r="C50" s="15"/>
      <c r="D50" s="15"/>
      <c r="E50" s="15"/>
      <c r="F50" s="15"/>
      <c r="G50" s="15"/>
      <c r="H50" s="15"/>
      <c r="I50" s="1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F8F00"/>
    <pageSetUpPr fitToPage="false"/>
  </sheetPr>
  <dimension ref="A1:I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26"/>
    <col collapsed="false" customWidth="true" hidden="false" outlineLevel="0" max="3" min="3" style="0" width="20"/>
    <col collapsed="false" customWidth="true" hidden="false" outlineLevel="0" max="4" min="4" style="0" width="28"/>
    <col collapsed="false" customWidth="true" hidden="false" outlineLevel="0" max="5" min="5" style="0" width="15"/>
    <col collapsed="false" customWidth="true" hidden="false" outlineLevel="0" max="6" min="6" style="0" width="18"/>
    <col collapsed="false" customWidth="true" hidden="false" outlineLevel="0" max="7" min="7" style="0" width="40"/>
    <col collapsed="false" customWidth="true" hidden="false" outlineLevel="0" max="8" min="8" style="0" width="15"/>
    <col collapsed="false" customWidth="true" hidden="false" outlineLevel="0" max="9" min="9" style="0" width="28"/>
  </cols>
  <sheetData>
    <row r="1" customFormat="false" ht="27.75" hidden="false" customHeight="true" outlineLevel="0" collapsed="false">
      <c r="A1" s="12" t="s">
        <v>124</v>
      </c>
      <c r="B1" s="12" t="s">
        <v>125</v>
      </c>
      <c r="C1" s="12" t="s">
        <v>89</v>
      </c>
      <c r="D1" s="12" t="s">
        <v>90</v>
      </c>
      <c r="E1" s="12" t="s">
        <v>91</v>
      </c>
      <c r="F1" s="12" t="s">
        <v>126</v>
      </c>
      <c r="G1" s="12" t="s">
        <v>127</v>
      </c>
      <c r="H1" s="12" t="s">
        <v>128</v>
      </c>
      <c r="I1" s="12" t="s">
        <v>30</v>
      </c>
    </row>
    <row r="2" customFormat="false" ht="15" hidden="false" customHeight="false" outlineLevel="0" collapsed="false">
      <c r="A2" s="15" t="s">
        <v>129</v>
      </c>
      <c r="B2" s="15" t="s">
        <v>36</v>
      </c>
      <c r="C2" s="15" t="s">
        <v>130</v>
      </c>
      <c r="D2" s="15" t="s">
        <v>131</v>
      </c>
      <c r="E2" s="15" t="s">
        <v>132</v>
      </c>
      <c r="F2" s="15" t="s">
        <v>133</v>
      </c>
      <c r="G2" s="15" t="s">
        <v>134</v>
      </c>
      <c r="H2" s="15" t="s">
        <v>135</v>
      </c>
      <c r="I2" s="15" t="s">
        <v>136</v>
      </c>
    </row>
    <row r="3" customFormat="false" ht="15" hidden="false" customHeight="false" outlineLevel="0" collapsed="false">
      <c r="A3" s="15" t="s">
        <v>137</v>
      </c>
      <c r="B3" s="15" t="s">
        <v>43</v>
      </c>
      <c r="C3" s="15" t="s">
        <v>138</v>
      </c>
      <c r="D3" s="15" t="s">
        <v>139</v>
      </c>
      <c r="E3" s="15" t="s">
        <v>140</v>
      </c>
      <c r="F3" s="15" t="s">
        <v>141</v>
      </c>
      <c r="G3" s="15" t="s">
        <v>142</v>
      </c>
      <c r="H3" s="15" t="s">
        <v>143</v>
      </c>
      <c r="I3" s="15" t="s">
        <v>144</v>
      </c>
    </row>
    <row r="4" customFormat="false" ht="15" hidden="false" customHeight="false" outlineLevel="0" collapsed="false">
      <c r="A4" s="15" t="s">
        <v>145</v>
      </c>
      <c r="B4" s="15" t="s">
        <v>68</v>
      </c>
      <c r="C4" s="15" t="s">
        <v>146</v>
      </c>
      <c r="D4" s="15" t="s">
        <v>147</v>
      </c>
      <c r="E4" s="15" t="s">
        <v>148</v>
      </c>
      <c r="F4" s="15" t="s">
        <v>149</v>
      </c>
      <c r="G4" s="15" t="s">
        <v>150</v>
      </c>
      <c r="H4" s="15" t="s">
        <v>151</v>
      </c>
      <c r="I4" s="15" t="s">
        <v>152</v>
      </c>
    </row>
    <row r="5" customFormat="false" ht="15" hidden="false" customHeight="false" outlineLevel="0" collapsed="false">
      <c r="A5" s="15"/>
      <c r="B5" s="15"/>
      <c r="C5" s="15"/>
      <c r="D5" s="15"/>
      <c r="E5" s="15"/>
      <c r="F5" s="15"/>
      <c r="G5" s="15"/>
      <c r="H5" s="15"/>
      <c r="I5" s="15"/>
    </row>
    <row r="6" customFormat="false" ht="15" hidden="false" customHeight="false" outlineLevel="0" collapsed="false">
      <c r="A6" s="15"/>
      <c r="B6" s="15"/>
      <c r="C6" s="15"/>
      <c r="D6" s="15"/>
      <c r="E6" s="15"/>
      <c r="F6" s="15"/>
      <c r="G6" s="15"/>
      <c r="H6" s="15"/>
      <c r="I6" s="15"/>
    </row>
    <row r="7" customFormat="false" ht="15" hidden="false" customHeight="false" outlineLevel="0" collapsed="false">
      <c r="A7" s="15"/>
      <c r="B7" s="15"/>
      <c r="C7" s="15"/>
      <c r="D7" s="15"/>
      <c r="E7" s="15"/>
      <c r="F7" s="15"/>
      <c r="G7" s="15"/>
      <c r="H7" s="15"/>
      <c r="I7" s="15"/>
    </row>
    <row r="8" customFormat="false" ht="15" hidden="false" customHeight="false" outlineLevel="0" collapsed="false">
      <c r="A8" s="15"/>
      <c r="B8" s="15"/>
      <c r="C8" s="15"/>
      <c r="D8" s="15"/>
      <c r="E8" s="15"/>
      <c r="F8" s="15"/>
      <c r="G8" s="15"/>
      <c r="H8" s="15"/>
      <c r="I8" s="15"/>
    </row>
    <row r="9" customFormat="false" ht="15" hidden="false" customHeight="false" outlineLevel="0" collapsed="false">
      <c r="A9" s="15"/>
      <c r="B9" s="15"/>
      <c r="C9" s="15"/>
      <c r="D9" s="15"/>
      <c r="E9" s="15"/>
      <c r="F9" s="15"/>
      <c r="G9" s="15"/>
      <c r="H9" s="15"/>
      <c r="I9" s="15"/>
    </row>
    <row r="10" customFormat="false" ht="15" hidden="false" customHeight="false" outlineLevel="0" collapsed="false">
      <c r="A10" s="15"/>
      <c r="B10" s="15"/>
      <c r="C10" s="15"/>
      <c r="D10" s="15"/>
      <c r="E10" s="15"/>
      <c r="F10" s="15"/>
      <c r="G10" s="15"/>
      <c r="H10" s="15"/>
      <c r="I10" s="15"/>
    </row>
    <row r="11" customFormat="false" ht="15" hidden="false" customHeight="false" outlineLevel="0" collapsed="false">
      <c r="A11" s="15"/>
      <c r="B11" s="15"/>
      <c r="C11" s="15"/>
      <c r="D11" s="15"/>
      <c r="E11" s="15"/>
      <c r="F11" s="15"/>
      <c r="G11" s="15"/>
      <c r="H11" s="15"/>
      <c r="I11" s="15"/>
    </row>
    <row r="12" customFormat="false" ht="15" hidden="false" customHeight="false" outlineLevel="0" collapsed="false">
      <c r="A12" s="15"/>
      <c r="B12" s="15"/>
      <c r="C12" s="15"/>
      <c r="D12" s="15"/>
      <c r="E12" s="15"/>
      <c r="F12" s="15"/>
      <c r="G12" s="15"/>
      <c r="H12" s="15"/>
      <c r="I12" s="15"/>
    </row>
    <row r="13" customFormat="false" ht="15" hidden="false" customHeight="false" outlineLevel="0" collapsed="false">
      <c r="A13" s="15"/>
      <c r="B13" s="15"/>
      <c r="C13" s="15"/>
      <c r="D13" s="15"/>
      <c r="E13" s="15"/>
      <c r="F13" s="15"/>
      <c r="G13" s="15"/>
      <c r="H13" s="15"/>
      <c r="I13" s="15"/>
    </row>
    <row r="14" customFormat="false" ht="15" hidden="false" customHeight="false" outlineLevel="0" collapsed="false">
      <c r="A14" s="15"/>
      <c r="B14" s="15"/>
      <c r="C14" s="15"/>
      <c r="D14" s="15"/>
      <c r="E14" s="15"/>
      <c r="F14" s="15"/>
      <c r="G14" s="15"/>
      <c r="H14" s="15"/>
      <c r="I14" s="15"/>
    </row>
    <row r="15" customFormat="false" ht="15" hidden="false" customHeight="false" outlineLevel="0" collapsed="false">
      <c r="A15" s="15"/>
      <c r="B15" s="15"/>
      <c r="C15" s="15"/>
      <c r="D15" s="15"/>
      <c r="E15" s="15"/>
      <c r="F15" s="15"/>
      <c r="G15" s="15"/>
      <c r="H15" s="15"/>
      <c r="I15" s="15"/>
    </row>
    <row r="16" customFormat="false" ht="15" hidden="false" customHeight="false" outlineLevel="0" collapsed="false">
      <c r="A16" s="15"/>
      <c r="B16" s="15"/>
      <c r="C16" s="15"/>
      <c r="D16" s="15"/>
      <c r="E16" s="15"/>
      <c r="F16" s="15"/>
      <c r="G16" s="15"/>
      <c r="H16" s="15"/>
      <c r="I16" s="15"/>
    </row>
    <row r="17" customFormat="false" ht="15" hidden="false" customHeight="false" outlineLevel="0" collapsed="false">
      <c r="A17" s="15"/>
      <c r="B17" s="15"/>
      <c r="C17" s="15"/>
      <c r="D17" s="15"/>
      <c r="E17" s="15"/>
      <c r="F17" s="15"/>
      <c r="G17" s="15"/>
      <c r="H17" s="15"/>
      <c r="I17" s="15"/>
    </row>
    <row r="18" customFormat="false" ht="15" hidden="false" customHeight="false" outlineLevel="0" collapsed="false">
      <c r="A18" s="15"/>
      <c r="B18" s="15"/>
      <c r="C18" s="15"/>
      <c r="D18" s="15"/>
      <c r="E18" s="15"/>
      <c r="F18" s="15"/>
      <c r="G18" s="15"/>
      <c r="H18" s="15"/>
      <c r="I18" s="15"/>
    </row>
    <row r="19" customFormat="false" ht="15" hidden="false" customHeight="false" outlineLevel="0" collapsed="false">
      <c r="A19" s="15"/>
      <c r="B19" s="15"/>
      <c r="C19" s="15"/>
      <c r="D19" s="15"/>
      <c r="E19" s="15"/>
      <c r="F19" s="15"/>
      <c r="G19" s="15"/>
      <c r="H19" s="15"/>
      <c r="I19" s="15"/>
    </row>
    <row r="20" customFormat="false" ht="15" hidden="false" customHeight="false" outlineLevel="0" collapsed="false">
      <c r="A20" s="15"/>
      <c r="B20" s="15"/>
      <c r="C20" s="15"/>
      <c r="D20" s="15"/>
      <c r="E20" s="15"/>
      <c r="F20" s="15"/>
      <c r="G20" s="15"/>
      <c r="H20" s="15"/>
      <c r="I20" s="15"/>
    </row>
    <row r="21" customFormat="false" ht="15" hidden="false" customHeight="false" outlineLevel="0" collapsed="false">
      <c r="A21" s="15"/>
      <c r="B21" s="15"/>
      <c r="C21" s="15"/>
      <c r="D21" s="15"/>
      <c r="E21" s="15"/>
      <c r="F21" s="15"/>
      <c r="G21" s="15"/>
      <c r="H21" s="15"/>
      <c r="I21" s="15"/>
    </row>
    <row r="22" customFormat="false" ht="15" hidden="false" customHeight="false" outlineLevel="0" collapsed="false">
      <c r="A22" s="15"/>
      <c r="B22" s="15"/>
      <c r="C22" s="15"/>
      <c r="D22" s="15"/>
      <c r="E22" s="15"/>
      <c r="F22" s="15"/>
      <c r="G22" s="15"/>
      <c r="H22" s="15"/>
      <c r="I22" s="15"/>
    </row>
    <row r="23" customFormat="false" ht="15" hidden="false" customHeight="false" outlineLevel="0" collapsed="false">
      <c r="A23" s="15"/>
      <c r="B23" s="15"/>
      <c r="C23" s="15"/>
      <c r="D23" s="15"/>
      <c r="E23" s="15"/>
      <c r="F23" s="15"/>
      <c r="G23" s="15"/>
      <c r="H23" s="15"/>
      <c r="I23" s="15"/>
    </row>
    <row r="24" customFormat="false" ht="15" hidden="false" customHeight="false" outlineLevel="0" collapsed="false">
      <c r="A24" s="15"/>
      <c r="B24" s="15"/>
      <c r="C24" s="15"/>
      <c r="D24" s="15"/>
      <c r="E24" s="15"/>
      <c r="F24" s="15"/>
      <c r="G24" s="15"/>
      <c r="H24" s="15"/>
      <c r="I24" s="15"/>
    </row>
    <row r="25" customFormat="false" ht="15" hidden="false" customHeight="false" outlineLevel="0" collapsed="false">
      <c r="A25" s="15"/>
      <c r="B25" s="15"/>
      <c r="C25" s="15"/>
      <c r="D25" s="15"/>
      <c r="E25" s="15"/>
      <c r="F25" s="15"/>
      <c r="G25" s="15"/>
      <c r="H25" s="15"/>
      <c r="I25" s="15"/>
    </row>
    <row r="26" customFormat="false" ht="15" hidden="false" customHeight="false" outlineLevel="0" collapsed="false">
      <c r="A26" s="15"/>
      <c r="B26" s="15"/>
      <c r="C26" s="15"/>
      <c r="D26" s="15"/>
      <c r="E26" s="15"/>
      <c r="F26" s="15"/>
      <c r="G26" s="15"/>
      <c r="H26" s="15"/>
      <c r="I26" s="15"/>
    </row>
    <row r="27" customFormat="false" ht="15" hidden="false" customHeight="false" outlineLevel="0" collapsed="false">
      <c r="A27" s="15"/>
      <c r="B27" s="15"/>
      <c r="C27" s="15"/>
      <c r="D27" s="15"/>
      <c r="E27" s="15"/>
      <c r="F27" s="15"/>
      <c r="G27" s="15"/>
      <c r="H27" s="15"/>
      <c r="I27" s="15"/>
    </row>
    <row r="28" customFormat="false" ht="15" hidden="false" customHeight="false" outlineLevel="0" collapsed="false">
      <c r="A28" s="15"/>
      <c r="B28" s="15"/>
      <c r="C28" s="15"/>
      <c r="D28" s="15"/>
      <c r="E28" s="15"/>
      <c r="F28" s="15"/>
      <c r="G28" s="15"/>
      <c r="H28" s="15"/>
      <c r="I28" s="15"/>
    </row>
    <row r="29" customFormat="false" ht="15" hidden="false" customHeight="false" outlineLevel="0" collapsed="false">
      <c r="A29" s="15"/>
      <c r="B29" s="15"/>
      <c r="C29" s="15"/>
      <c r="D29" s="15"/>
      <c r="E29" s="15"/>
      <c r="F29" s="15"/>
      <c r="G29" s="15"/>
      <c r="H29" s="15"/>
      <c r="I29" s="15"/>
    </row>
    <row r="30" customFormat="false" ht="15" hidden="false" customHeight="false" outlineLevel="0" collapsed="false">
      <c r="A30" s="15"/>
      <c r="B30" s="15"/>
      <c r="C30" s="15"/>
      <c r="D30" s="15"/>
      <c r="E30" s="15"/>
      <c r="F30" s="15"/>
      <c r="G30" s="15"/>
      <c r="H30" s="15"/>
      <c r="I30" s="15"/>
    </row>
    <row r="31" customFormat="false" ht="15" hidden="false" customHeight="false" outlineLevel="0" collapsed="false">
      <c r="A31" s="15"/>
      <c r="B31" s="15"/>
      <c r="C31" s="15"/>
      <c r="D31" s="15"/>
      <c r="E31" s="15"/>
      <c r="F31" s="15"/>
      <c r="G31" s="15"/>
      <c r="H31" s="15"/>
      <c r="I31" s="15"/>
    </row>
    <row r="32" customFormat="false" ht="15" hidden="false" customHeight="false" outlineLevel="0" collapsed="false">
      <c r="A32" s="15"/>
      <c r="B32" s="15"/>
      <c r="C32" s="15"/>
      <c r="D32" s="15"/>
      <c r="E32" s="15"/>
      <c r="F32" s="15"/>
      <c r="G32" s="15"/>
      <c r="H32" s="15"/>
      <c r="I32" s="15"/>
    </row>
    <row r="33" customFormat="false" ht="15" hidden="false" customHeight="false" outlineLevel="0" collapsed="false">
      <c r="A33" s="15"/>
      <c r="B33" s="15"/>
      <c r="C33" s="15"/>
      <c r="D33" s="15"/>
      <c r="E33" s="15"/>
      <c r="F33" s="15"/>
      <c r="G33" s="15"/>
      <c r="H33" s="15"/>
      <c r="I33" s="15"/>
    </row>
    <row r="34" customFormat="false" ht="15" hidden="false" customHeight="false" outlineLevel="0" collapsed="false">
      <c r="A34" s="15"/>
      <c r="B34" s="15"/>
      <c r="C34" s="15"/>
      <c r="D34" s="15"/>
      <c r="E34" s="15"/>
      <c r="F34" s="15"/>
      <c r="G34" s="15"/>
      <c r="H34" s="15"/>
      <c r="I34" s="15"/>
    </row>
    <row r="35" customFormat="false" ht="15" hidden="false" customHeight="false" outlineLevel="0" collapsed="false">
      <c r="A35" s="15"/>
      <c r="B35" s="15"/>
      <c r="C35" s="15"/>
      <c r="D35" s="15"/>
      <c r="E35" s="15"/>
      <c r="F35" s="15"/>
      <c r="G35" s="15"/>
      <c r="H35" s="15"/>
      <c r="I35" s="15"/>
    </row>
    <row r="36" customFormat="false" ht="15" hidden="false" customHeight="false" outlineLevel="0" collapsed="false">
      <c r="A36" s="15"/>
      <c r="B36" s="15"/>
      <c r="C36" s="15"/>
      <c r="D36" s="15"/>
      <c r="E36" s="15"/>
      <c r="F36" s="15"/>
      <c r="G36" s="15"/>
      <c r="H36" s="15"/>
      <c r="I36" s="15"/>
    </row>
    <row r="37" customFormat="false" ht="15" hidden="false" customHeight="false" outlineLevel="0" collapsed="false">
      <c r="A37" s="15"/>
      <c r="B37" s="15"/>
      <c r="C37" s="15"/>
      <c r="D37" s="15"/>
      <c r="E37" s="15"/>
      <c r="F37" s="15"/>
      <c r="G37" s="15"/>
      <c r="H37" s="15"/>
      <c r="I37" s="15"/>
    </row>
    <row r="38" customFormat="false" ht="15" hidden="false" customHeight="false" outlineLevel="0" collapsed="false">
      <c r="A38" s="15"/>
      <c r="B38" s="15"/>
      <c r="C38" s="15"/>
      <c r="D38" s="15"/>
      <c r="E38" s="15"/>
      <c r="F38" s="15"/>
      <c r="G38" s="15"/>
      <c r="H38" s="15"/>
      <c r="I38" s="15"/>
    </row>
    <row r="39" customFormat="false" ht="15" hidden="false" customHeight="false" outlineLevel="0" collapsed="false">
      <c r="A39" s="15"/>
      <c r="B39" s="15"/>
      <c r="C39" s="15"/>
      <c r="D39" s="15"/>
      <c r="E39" s="15"/>
      <c r="F39" s="15"/>
      <c r="G39" s="15"/>
      <c r="H39" s="15"/>
      <c r="I39" s="15"/>
    </row>
    <row r="40" customFormat="false" ht="15" hidden="false" customHeight="false" outlineLevel="0" collapsed="false">
      <c r="A40" s="15"/>
      <c r="B40" s="15"/>
      <c r="C40" s="15"/>
      <c r="D40" s="15"/>
      <c r="E40" s="15"/>
      <c r="F40" s="15"/>
      <c r="G40" s="15"/>
      <c r="H40" s="15"/>
      <c r="I40" s="15"/>
    </row>
    <row r="41" customFormat="false" ht="15" hidden="false" customHeight="false" outlineLevel="0" collapsed="false">
      <c r="A41" s="15"/>
      <c r="B41" s="15"/>
      <c r="C41" s="15"/>
      <c r="D41" s="15"/>
      <c r="E41" s="15"/>
      <c r="F41" s="15"/>
      <c r="G41" s="15"/>
      <c r="H41" s="15"/>
      <c r="I41" s="15"/>
    </row>
    <row r="42" customFormat="false" ht="15" hidden="false" customHeight="false" outlineLevel="0" collapsed="false">
      <c r="A42" s="15"/>
      <c r="B42" s="15"/>
      <c r="C42" s="15"/>
      <c r="D42" s="15"/>
      <c r="E42" s="15"/>
      <c r="F42" s="15"/>
      <c r="G42" s="15"/>
      <c r="H42" s="15"/>
      <c r="I42" s="15"/>
    </row>
    <row r="43" customFormat="false" ht="15" hidden="false" customHeight="false" outlineLevel="0" collapsed="false">
      <c r="A43" s="15"/>
      <c r="B43" s="15"/>
      <c r="C43" s="15"/>
      <c r="D43" s="15"/>
      <c r="E43" s="15"/>
      <c r="F43" s="15"/>
      <c r="G43" s="15"/>
      <c r="H43" s="15"/>
      <c r="I43" s="15"/>
    </row>
    <row r="44" customFormat="false" ht="15" hidden="false" customHeight="false" outlineLevel="0" collapsed="false">
      <c r="A44" s="15"/>
      <c r="B44" s="15"/>
      <c r="C44" s="15"/>
      <c r="D44" s="15"/>
      <c r="E44" s="15"/>
      <c r="F44" s="15"/>
      <c r="G44" s="15"/>
      <c r="H44" s="15"/>
      <c r="I44" s="15"/>
    </row>
    <row r="45" customFormat="false" ht="15" hidden="false" customHeight="false" outlineLevel="0" collapsed="false">
      <c r="A45" s="15"/>
      <c r="B45" s="15"/>
      <c r="C45" s="15"/>
      <c r="D45" s="15"/>
      <c r="E45" s="15"/>
      <c r="F45" s="15"/>
      <c r="G45" s="15"/>
      <c r="H45" s="15"/>
      <c r="I45" s="15"/>
    </row>
    <row r="46" customFormat="false" ht="15" hidden="false" customHeight="false" outlineLevel="0" collapsed="false">
      <c r="A46" s="15"/>
      <c r="B46" s="15"/>
      <c r="C46" s="15"/>
      <c r="D46" s="15"/>
      <c r="E46" s="15"/>
      <c r="F46" s="15"/>
      <c r="G46" s="15"/>
      <c r="H46" s="15"/>
      <c r="I46" s="15"/>
    </row>
    <row r="47" customFormat="false" ht="15" hidden="false" customHeight="false" outlineLevel="0" collapsed="false">
      <c r="A47" s="15"/>
      <c r="B47" s="15"/>
      <c r="C47" s="15"/>
      <c r="D47" s="15"/>
      <c r="E47" s="15"/>
      <c r="F47" s="15"/>
      <c r="G47" s="15"/>
      <c r="H47" s="15"/>
      <c r="I47" s="15"/>
    </row>
    <row r="48" customFormat="false" ht="15" hidden="false" customHeight="false" outlineLevel="0" collapsed="false">
      <c r="A48" s="15"/>
      <c r="B48" s="15"/>
      <c r="C48" s="15"/>
      <c r="D48" s="15"/>
      <c r="E48" s="15"/>
      <c r="F48" s="15"/>
      <c r="G48" s="15"/>
      <c r="H48" s="15"/>
      <c r="I48" s="15"/>
    </row>
    <row r="49" customFormat="false" ht="15" hidden="false" customHeight="false" outlineLevel="0" collapsed="false">
      <c r="A49" s="15"/>
      <c r="B49" s="15"/>
      <c r="C49" s="15"/>
      <c r="D49" s="15"/>
      <c r="E49" s="15"/>
      <c r="F49" s="15"/>
      <c r="G49" s="15"/>
      <c r="H49" s="15"/>
      <c r="I49" s="15"/>
    </row>
    <row r="50" customFormat="false" ht="15" hidden="false" customHeight="false" outlineLevel="0" collapsed="false">
      <c r="A50" s="15"/>
      <c r="B50" s="15"/>
      <c r="C50" s="15"/>
      <c r="D50" s="15"/>
      <c r="E50" s="15"/>
      <c r="F50" s="15"/>
      <c r="G50" s="15"/>
      <c r="H50" s="15"/>
      <c r="I50" s="1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false"/>
  </sheetPr>
  <dimension ref="A1:J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2"/>
    <col collapsed="false" customWidth="true" hidden="false" outlineLevel="0" max="3" min="3" style="0" width="24"/>
    <col collapsed="false" customWidth="true" hidden="false" outlineLevel="0" max="4" min="4" style="0" width="26"/>
    <col collapsed="false" customWidth="true" hidden="false" outlineLevel="0" max="6" min="5" style="0" width="13"/>
    <col collapsed="false" customWidth="true" hidden="false" outlineLevel="0" max="7" min="7" style="0" width="14"/>
    <col collapsed="false" customWidth="true" hidden="false" outlineLevel="0" max="8" min="8" style="0" width="13"/>
    <col collapsed="false" customWidth="true" hidden="false" outlineLevel="0" max="9" min="9" style="0" width="12"/>
    <col collapsed="false" customWidth="true" hidden="false" outlineLevel="0" max="10" min="10" style="0" width="28"/>
  </cols>
  <sheetData>
    <row r="1" customFormat="false" ht="27.75" hidden="false" customHeight="true" outlineLevel="0" collapsed="false">
      <c r="A1" s="12" t="s">
        <v>63</v>
      </c>
      <c r="B1" s="12" t="s">
        <v>15</v>
      </c>
      <c r="C1" s="12" t="s">
        <v>8</v>
      </c>
      <c r="D1" s="12" t="s">
        <v>16</v>
      </c>
      <c r="E1" s="12" t="s">
        <v>153</v>
      </c>
      <c r="F1" s="12" t="s">
        <v>154</v>
      </c>
      <c r="G1" s="12" t="s">
        <v>155</v>
      </c>
      <c r="H1" s="12" t="s">
        <v>156</v>
      </c>
      <c r="I1" s="12" t="s">
        <v>157</v>
      </c>
      <c r="J1" s="12" t="s">
        <v>30</v>
      </c>
    </row>
    <row r="2" customFormat="false" ht="15" hidden="false" customHeight="false" outlineLevel="0" collapsed="false">
      <c r="A2" s="15" t="s">
        <v>158</v>
      </c>
      <c r="B2" s="15" t="s">
        <v>159</v>
      </c>
      <c r="C2" s="15" t="s">
        <v>34</v>
      </c>
      <c r="D2" s="15" t="s">
        <v>36</v>
      </c>
      <c r="E2" s="15" t="n">
        <v>4</v>
      </c>
      <c r="F2" s="21" t="n">
        <v>45366</v>
      </c>
      <c r="G2" s="21" t="n">
        <v>46063</v>
      </c>
      <c r="H2" s="22" t="n">
        <v>85000</v>
      </c>
      <c r="I2" s="15" t="s">
        <v>160</v>
      </c>
      <c r="J2" s="15" t="s">
        <v>161</v>
      </c>
    </row>
    <row r="3" customFormat="false" ht="15" hidden="false" customHeight="false" outlineLevel="0" collapsed="false">
      <c r="A3" s="15" t="s">
        <v>79</v>
      </c>
      <c r="B3" s="15" t="s">
        <v>75</v>
      </c>
      <c r="C3" s="15" t="s">
        <v>41</v>
      </c>
      <c r="D3" s="15" t="s">
        <v>43</v>
      </c>
      <c r="E3" s="15" t="n">
        <v>2</v>
      </c>
      <c r="F3" s="21" t="n">
        <v>45536</v>
      </c>
      <c r="G3" s="21" t="n">
        <v>46044</v>
      </c>
      <c r="H3" s="22" t="n">
        <v>42000</v>
      </c>
      <c r="I3" s="15" t="s">
        <v>160</v>
      </c>
      <c r="J3" s="15"/>
    </row>
    <row r="4" customFormat="false" ht="15" hidden="false" customHeight="false" outlineLevel="0" collapsed="false">
      <c r="A4" s="15" t="s">
        <v>73</v>
      </c>
      <c r="B4" s="15" t="s">
        <v>67</v>
      </c>
      <c r="C4" s="15" t="s">
        <v>66</v>
      </c>
      <c r="D4" s="15" t="s">
        <v>68</v>
      </c>
      <c r="E4" s="15" t="n">
        <v>8</v>
      </c>
      <c r="F4" s="21" t="n">
        <v>45677</v>
      </c>
      <c r="G4" s="21" t="n">
        <v>46117</v>
      </c>
      <c r="H4" s="22" t="n">
        <v>320000</v>
      </c>
      <c r="I4" s="15" t="s">
        <v>160</v>
      </c>
      <c r="J4" s="15" t="s">
        <v>162</v>
      </c>
    </row>
    <row r="5" customFormat="false" ht="15" hidden="false" customHeight="false" outlineLevel="0" collapsed="false">
      <c r="A5" s="15" t="s">
        <v>86</v>
      </c>
      <c r="B5" s="15" t="s">
        <v>163</v>
      </c>
      <c r="C5" s="15" t="s">
        <v>49</v>
      </c>
      <c r="D5" s="15" t="s">
        <v>36</v>
      </c>
      <c r="E5" s="15" t="n">
        <v>1</v>
      </c>
      <c r="F5" s="21" t="n">
        <v>45087</v>
      </c>
      <c r="G5" s="21" t="n">
        <v>45991</v>
      </c>
      <c r="H5" s="22" t="n">
        <v>18000</v>
      </c>
      <c r="I5" s="15" t="s">
        <v>164</v>
      </c>
      <c r="J5" s="15" t="s">
        <v>165</v>
      </c>
    </row>
    <row r="6" customFormat="false" ht="15" hidden="false" customHeight="false" outlineLevel="0" collapsed="false">
      <c r="A6" s="15"/>
      <c r="B6" s="15"/>
      <c r="C6" s="15"/>
      <c r="D6" s="15"/>
      <c r="E6" s="15"/>
      <c r="F6" s="21"/>
      <c r="G6" s="21"/>
      <c r="H6" s="22"/>
      <c r="I6" s="15"/>
      <c r="J6" s="15"/>
    </row>
    <row r="7" customFormat="false" ht="15" hidden="false" customHeight="false" outlineLevel="0" collapsed="false">
      <c r="A7" s="15"/>
      <c r="B7" s="15"/>
      <c r="C7" s="15"/>
      <c r="D7" s="15"/>
      <c r="E7" s="15"/>
      <c r="F7" s="21"/>
      <c r="G7" s="21"/>
      <c r="H7" s="22"/>
      <c r="I7" s="15"/>
      <c r="J7" s="15"/>
    </row>
    <row r="8" customFormat="false" ht="15" hidden="false" customHeight="false" outlineLevel="0" collapsed="false">
      <c r="A8" s="15"/>
      <c r="B8" s="15"/>
      <c r="C8" s="15"/>
      <c r="D8" s="15"/>
      <c r="E8" s="15"/>
      <c r="F8" s="21"/>
      <c r="G8" s="21"/>
      <c r="H8" s="22"/>
      <c r="I8" s="15"/>
      <c r="J8" s="15"/>
    </row>
    <row r="9" customFormat="false" ht="15" hidden="false" customHeight="false" outlineLevel="0" collapsed="false">
      <c r="A9" s="15"/>
      <c r="B9" s="15"/>
      <c r="C9" s="15"/>
      <c r="D9" s="15"/>
      <c r="E9" s="15"/>
      <c r="F9" s="21"/>
      <c r="G9" s="21"/>
      <c r="H9" s="22"/>
      <c r="I9" s="15"/>
      <c r="J9" s="15"/>
    </row>
    <row r="10" customFormat="false" ht="15" hidden="false" customHeight="false" outlineLevel="0" collapsed="false">
      <c r="A10" s="15"/>
      <c r="B10" s="15"/>
      <c r="C10" s="15"/>
      <c r="D10" s="15"/>
      <c r="E10" s="15"/>
      <c r="F10" s="21"/>
      <c r="G10" s="21"/>
      <c r="H10" s="22"/>
      <c r="I10" s="15"/>
      <c r="J10" s="15"/>
    </row>
    <row r="11" customFormat="false" ht="15" hidden="false" customHeight="false" outlineLevel="0" collapsed="false">
      <c r="A11" s="15"/>
      <c r="B11" s="15"/>
      <c r="C11" s="15"/>
      <c r="D11" s="15"/>
      <c r="E11" s="15"/>
      <c r="F11" s="21"/>
      <c r="G11" s="21"/>
      <c r="H11" s="22"/>
      <c r="I11" s="15"/>
      <c r="J11" s="15"/>
    </row>
    <row r="12" customFormat="false" ht="15" hidden="false" customHeight="false" outlineLevel="0" collapsed="false">
      <c r="A12" s="15"/>
      <c r="B12" s="15"/>
      <c r="C12" s="15"/>
      <c r="D12" s="15"/>
      <c r="E12" s="15"/>
      <c r="F12" s="21"/>
      <c r="G12" s="21"/>
      <c r="H12" s="22"/>
      <c r="I12" s="15"/>
      <c r="J12" s="15"/>
    </row>
    <row r="13" customFormat="false" ht="15" hidden="false" customHeight="false" outlineLevel="0" collapsed="false">
      <c r="A13" s="15"/>
      <c r="B13" s="15"/>
      <c r="C13" s="15"/>
      <c r="D13" s="15"/>
      <c r="E13" s="15"/>
      <c r="F13" s="21"/>
      <c r="G13" s="21"/>
      <c r="H13" s="22"/>
      <c r="I13" s="15"/>
      <c r="J13" s="15"/>
    </row>
    <row r="14" customFormat="false" ht="15" hidden="false" customHeight="false" outlineLevel="0" collapsed="false">
      <c r="A14" s="15"/>
      <c r="B14" s="15"/>
      <c r="C14" s="15"/>
      <c r="D14" s="15"/>
      <c r="E14" s="15"/>
      <c r="F14" s="21"/>
      <c r="G14" s="21"/>
      <c r="H14" s="22"/>
      <c r="I14" s="15"/>
      <c r="J14" s="15"/>
    </row>
    <row r="15" customFormat="false" ht="15" hidden="false" customHeight="false" outlineLevel="0" collapsed="false">
      <c r="A15" s="15"/>
      <c r="B15" s="15"/>
      <c r="C15" s="15"/>
      <c r="D15" s="15"/>
      <c r="E15" s="15"/>
      <c r="F15" s="21"/>
      <c r="G15" s="21"/>
      <c r="H15" s="22"/>
      <c r="I15" s="15"/>
      <c r="J15" s="15"/>
    </row>
    <row r="16" customFormat="false" ht="15" hidden="false" customHeight="false" outlineLevel="0" collapsed="false">
      <c r="A16" s="15"/>
      <c r="B16" s="15"/>
      <c r="C16" s="15"/>
      <c r="D16" s="15"/>
      <c r="E16" s="15"/>
      <c r="F16" s="21"/>
      <c r="G16" s="21"/>
      <c r="H16" s="22"/>
      <c r="I16" s="15"/>
      <c r="J16" s="15"/>
    </row>
    <row r="17" customFormat="false" ht="15" hidden="false" customHeight="false" outlineLevel="0" collapsed="false">
      <c r="A17" s="15"/>
      <c r="B17" s="15"/>
      <c r="C17" s="15"/>
      <c r="D17" s="15"/>
      <c r="E17" s="15"/>
      <c r="F17" s="21"/>
      <c r="G17" s="21"/>
      <c r="H17" s="22"/>
      <c r="I17" s="15"/>
      <c r="J17" s="15"/>
    </row>
    <row r="18" customFormat="false" ht="15" hidden="false" customHeight="false" outlineLevel="0" collapsed="false">
      <c r="A18" s="15"/>
      <c r="B18" s="15"/>
      <c r="C18" s="15"/>
      <c r="D18" s="15"/>
      <c r="E18" s="15"/>
      <c r="F18" s="21"/>
      <c r="G18" s="21"/>
      <c r="H18" s="22"/>
      <c r="I18" s="15"/>
      <c r="J18" s="15"/>
    </row>
    <row r="19" customFormat="false" ht="15" hidden="false" customHeight="false" outlineLevel="0" collapsed="false">
      <c r="A19" s="15"/>
      <c r="B19" s="15"/>
      <c r="C19" s="15"/>
      <c r="D19" s="15"/>
      <c r="E19" s="15"/>
      <c r="F19" s="21"/>
      <c r="G19" s="21"/>
      <c r="H19" s="22"/>
      <c r="I19" s="15"/>
      <c r="J19" s="15"/>
    </row>
    <row r="20" customFormat="false" ht="15" hidden="false" customHeight="false" outlineLevel="0" collapsed="false">
      <c r="A20" s="15"/>
      <c r="B20" s="15"/>
      <c r="C20" s="15"/>
      <c r="D20" s="15"/>
      <c r="E20" s="15"/>
      <c r="F20" s="21"/>
      <c r="G20" s="21"/>
      <c r="H20" s="22"/>
      <c r="I20" s="15"/>
      <c r="J20" s="15"/>
    </row>
    <row r="21" customFormat="false" ht="15" hidden="false" customHeight="false" outlineLevel="0" collapsed="false">
      <c r="A21" s="15"/>
      <c r="B21" s="15"/>
      <c r="C21" s="15"/>
      <c r="D21" s="15"/>
      <c r="E21" s="15"/>
      <c r="F21" s="21"/>
      <c r="G21" s="21"/>
      <c r="H21" s="22"/>
      <c r="I21" s="15"/>
      <c r="J21" s="15"/>
    </row>
    <row r="22" customFormat="false" ht="15" hidden="false" customHeight="false" outlineLevel="0" collapsed="false">
      <c r="A22" s="15"/>
      <c r="B22" s="15"/>
      <c r="C22" s="15"/>
      <c r="D22" s="15"/>
      <c r="E22" s="15"/>
      <c r="F22" s="21"/>
      <c r="G22" s="21"/>
      <c r="H22" s="22"/>
      <c r="I22" s="15"/>
      <c r="J22" s="15"/>
    </row>
    <row r="23" customFormat="false" ht="15" hidden="false" customHeight="false" outlineLevel="0" collapsed="false">
      <c r="A23" s="15"/>
      <c r="B23" s="15"/>
      <c r="C23" s="15"/>
      <c r="D23" s="15"/>
      <c r="E23" s="15"/>
      <c r="F23" s="21"/>
      <c r="G23" s="21"/>
      <c r="H23" s="22"/>
      <c r="I23" s="15"/>
      <c r="J23" s="15"/>
    </row>
    <row r="24" customFormat="false" ht="15" hidden="false" customHeight="false" outlineLevel="0" collapsed="false">
      <c r="A24" s="15"/>
      <c r="B24" s="15"/>
      <c r="C24" s="15"/>
      <c r="D24" s="15"/>
      <c r="E24" s="15"/>
      <c r="F24" s="21"/>
      <c r="G24" s="21"/>
      <c r="H24" s="22"/>
      <c r="I24" s="15"/>
      <c r="J24" s="15"/>
    </row>
    <row r="25" customFormat="false" ht="15" hidden="false" customHeight="false" outlineLevel="0" collapsed="false">
      <c r="A25" s="15"/>
      <c r="B25" s="15"/>
      <c r="C25" s="15"/>
      <c r="D25" s="15"/>
      <c r="E25" s="15"/>
      <c r="F25" s="21"/>
      <c r="G25" s="21"/>
      <c r="H25" s="22"/>
      <c r="I25" s="15"/>
      <c r="J25" s="15"/>
    </row>
    <row r="26" customFormat="false" ht="15" hidden="false" customHeight="false" outlineLevel="0" collapsed="false">
      <c r="A26" s="15"/>
      <c r="B26" s="15"/>
      <c r="C26" s="15"/>
      <c r="D26" s="15"/>
      <c r="E26" s="15"/>
      <c r="F26" s="21"/>
      <c r="G26" s="21"/>
      <c r="H26" s="22"/>
      <c r="I26" s="15"/>
      <c r="J26" s="15"/>
    </row>
    <row r="27" customFormat="false" ht="15" hidden="false" customHeight="false" outlineLevel="0" collapsed="false">
      <c r="A27" s="15"/>
      <c r="B27" s="15"/>
      <c r="C27" s="15"/>
      <c r="D27" s="15"/>
      <c r="E27" s="15"/>
      <c r="F27" s="21"/>
      <c r="G27" s="21"/>
      <c r="H27" s="22"/>
      <c r="I27" s="15"/>
      <c r="J27" s="15"/>
    </row>
    <row r="28" customFormat="false" ht="15" hidden="false" customHeight="false" outlineLevel="0" collapsed="false">
      <c r="A28" s="15"/>
      <c r="B28" s="15"/>
      <c r="C28" s="15"/>
      <c r="D28" s="15"/>
      <c r="E28" s="15"/>
      <c r="F28" s="21"/>
      <c r="G28" s="21"/>
      <c r="H28" s="22"/>
      <c r="I28" s="15"/>
      <c r="J28" s="15"/>
    </row>
    <row r="29" customFormat="false" ht="15" hidden="false" customHeight="false" outlineLevel="0" collapsed="false">
      <c r="A29" s="15"/>
      <c r="B29" s="15"/>
      <c r="C29" s="15"/>
      <c r="D29" s="15"/>
      <c r="E29" s="15"/>
      <c r="F29" s="21"/>
      <c r="G29" s="21"/>
      <c r="H29" s="22"/>
      <c r="I29" s="15"/>
      <c r="J29" s="15"/>
    </row>
    <row r="30" customFormat="false" ht="15" hidden="false" customHeight="false" outlineLevel="0" collapsed="false">
      <c r="A30" s="15"/>
      <c r="B30" s="15"/>
      <c r="C30" s="15"/>
      <c r="D30" s="15"/>
      <c r="E30" s="15"/>
      <c r="F30" s="21"/>
      <c r="G30" s="21"/>
      <c r="H30" s="22"/>
      <c r="I30" s="15"/>
      <c r="J30" s="15"/>
    </row>
    <row r="31" customFormat="false" ht="15" hidden="false" customHeight="false" outlineLevel="0" collapsed="false">
      <c r="A31" s="15"/>
      <c r="B31" s="15"/>
      <c r="C31" s="15"/>
      <c r="D31" s="15"/>
      <c r="E31" s="15"/>
      <c r="F31" s="21"/>
      <c r="G31" s="21"/>
      <c r="H31" s="22"/>
      <c r="I31" s="15"/>
      <c r="J31" s="15"/>
    </row>
    <row r="32" customFormat="false" ht="15" hidden="false" customHeight="false" outlineLevel="0" collapsed="false">
      <c r="A32" s="15"/>
      <c r="B32" s="15"/>
      <c r="C32" s="15"/>
      <c r="D32" s="15"/>
      <c r="E32" s="15"/>
      <c r="F32" s="21"/>
      <c r="G32" s="21"/>
      <c r="H32" s="22"/>
      <c r="I32" s="15"/>
      <c r="J32" s="15"/>
    </row>
    <row r="33" customFormat="false" ht="15" hidden="false" customHeight="false" outlineLevel="0" collapsed="false">
      <c r="A33" s="15"/>
      <c r="B33" s="15"/>
      <c r="C33" s="15"/>
      <c r="D33" s="15"/>
      <c r="E33" s="15"/>
      <c r="F33" s="21"/>
      <c r="G33" s="21"/>
      <c r="H33" s="22"/>
      <c r="I33" s="15"/>
      <c r="J33" s="15"/>
    </row>
    <row r="34" customFormat="false" ht="15" hidden="false" customHeight="false" outlineLevel="0" collapsed="false">
      <c r="A34" s="15"/>
      <c r="B34" s="15"/>
      <c r="C34" s="15"/>
      <c r="D34" s="15"/>
      <c r="E34" s="15"/>
      <c r="F34" s="21"/>
      <c r="G34" s="21"/>
      <c r="H34" s="22"/>
      <c r="I34" s="15"/>
      <c r="J34" s="15"/>
    </row>
    <row r="35" customFormat="false" ht="15" hidden="false" customHeight="false" outlineLevel="0" collapsed="false">
      <c r="A35" s="15"/>
      <c r="B35" s="15"/>
      <c r="C35" s="15"/>
      <c r="D35" s="15"/>
      <c r="E35" s="15"/>
      <c r="F35" s="21"/>
      <c r="G35" s="21"/>
      <c r="H35" s="22"/>
      <c r="I35" s="15"/>
      <c r="J35" s="15"/>
    </row>
    <row r="36" customFormat="false" ht="15" hidden="false" customHeight="false" outlineLevel="0" collapsed="false">
      <c r="A36" s="15"/>
      <c r="B36" s="15"/>
      <c r="C36" s="15"/>
      <c r="D36" s="15"/>
      <c r="E36" s="15"/>
      <c r="F36" s="21"/>
      <c r="G36" s="21"/>
      <c r="H36" s="22"/>
      <c r="I36" s="15"/>
      <c r="J36" s="15"/>
    </row>
    <row r="37" customFormat="false" ht="15" hidden="false" customHeight="false" outlineLevel="0" collapsed="false">
      <c r="A37" s="15"/>
      <c r="B37" s="15"/>
      <c r="C37" s="15"/>
      <c r="D37" s="15"/>
      <c r="E37" s="15"/>
      <c r="F37" s="21"/>
      <c r="G37" s="21"/>
      <c r="H37" s="22"/>
      <c r="I37" s="15"/>
      <c r="J37" s="15"/>
    </row>
    <row r="38" customFormat="false" ht="15" hidden="false" customHeight="false" outlineLevel="0" collapsed="false">
      <c r="A38" s="15"/>
      <c r="B38" s="15"/>
      <c r="C38" s="15"/>
      <c r="D38" s="15"/>
      <c r="E38" s="15"/>
      <c r="F38" s="21"/>
      <c r="G38" s="21"/>
      <c r="H38" s="22"/>
      <c r="I38" s="15"/>
      <c r="J38" s="15"/>
    </row>
    <row r="39" customFormat="false" ht="15" hidden="false" customHeight="false" outlineLevel="0" collapsed="false">
      <c r="A39" s="15"/>
      <c r="B39" s="15"/>
      <c r="C39" s="15"/>
      <c r="D39" s="15"/>
      <c r="E39" s="15"/>
      <c r="F39" s="21"/>
      <c r="G39" s="21"/>
      <c r="H39" s="22"/>
      <c r="I39" s="15"/>
      <c r="J39" s="15"/>
    </row>
    <row r="40" customFormat="false" ht="15" hidden="false" customHeight="false" outlineLevel="0" collapsed="false">
      <c r="A40" s="15"/>
      <c r="B40" s="15"/>
      <c r="C40" s="15"/>
      <c r="D40" s="15"/>
      <c r="E40" s="15"/>
      <c r="F40" s="21"/>
      <c r="G40" s="21"/>
      <c r="H40" s="22"/>
      <c r="I40" s="15"/>
      <c r="J40" s="15"/>
    </row>
    <row r="41" customFormat="false" ht="15" hidden="false" customHeight="false" outlineLevel="0" collapsed="false">
      <c r="A41" s="15"/>
      <c r="B41" s="15"/>
      <c r="C41" s="15"/>
      <c r="D41" s="15"/>
      <c r="E41" s="15"/>
      <c r="F41" s="21"/>
      <c r="G41" s="21"/>
      <c r="H41" s="22"/>
      <c r="I41" s="15"/>
      <c r="J41" s="15"/>
    </row>
    <row r="42" customFormat="false" ht="15" hidden="false" customHeight="false" outlineLevel="0" collapsed="false">
      <c r="A42" s="15"/>
      <c r="B42" s="15"/>
      <c r="C42" s="15"/>
      <c r="D42" s="15"/>
      <c r="E42" s="15"/>
      <c r="F42" s="21"/>
      <c r="G42" s="21"/>
      <c r="H42" s="22"/>
      <c r="I42" s="15"/>
      <c r="J42" s="15"/>
    </row>
    <row r="43" customFormat="false" ht="15" hidden="false" customHeight="false" outlineLevel="0" collapsed="false">
      <c r="A43" s="15"/>
      <c r="B43" s="15"/>
      <c r="C43" s="15"/>
      <c r="D43" s="15"/>
      <c r="E43" s="15"/>
      <c r="F43" s="21"/>
      <c r="G43" s="21"/>
      <c r="H43" s="22"/>
      <c r="I43" s="15"/>
      <c r="J43" s="15"/>
    </row>
    <row r="44" customFormat="false" ht="15" hidden="false" customHeight="false" outlineLevel="0" collapsed="false">
      <c r="A44" s="15"/>
      <c r="B44" s="15"/>
      <c r="C44" s="15"/>
      <c r="D44" s="15"/>
      <c r="E44" s="15"/>
      <c r="F44" s="21"/>
      <c r="G44" s="21"/>
      <c r="H44" s="22"/>
      <c r="I44" s="15"/>
      <c r="J44" s="15"/>
    </row>
    <row r="45" customFormat="false" ht="15" hidden="false" customHeight="false" outlineLevel="0" collapsed="false">
      <c r="A45" s="15"/>
      <c r="B45" s="15"/>
      <c r="C45" s="15"/>
      <c r="D45" s="15"/>
      <c r="E45" s="15"/>
      <c r="F45" s="21"/>
      <c r="G45" s="21"/>
      <c r="H45" s="22"/>
      <c r="I45" s="15"/>
      <c r="J45" s="15"/>
    </row>
    <row r="46" customFormat="false" ht="15" hidden="false" customHeight="false" outlineLevel="0" collapsed="false">
      <c r="A46" s="15"/>
      <c r="B46" s="15"/>
      <c r="C46" s="15"/>
      <c r="D46" s="15"/>
      <c r="E46" s="15"/>
      <c r="F46" s="21"/>
      <c r="G46" s="21"/>
      <c r="H46" s="22"/>
      <c r="I46" s="15"/>
      <c r="J46" s="15"/>
    </row>
    <row r="47" customFormat="false" ht="15" hidden="false" customHeight="false" outlineLevel="0" collapsed="false">
      <c r="A47" s="15"/>
      <c r="B47" s="15"/>
      <c r="C47" s="15"/>
      <c r="D47" s="15"/>
      <c r="E47" s="15"/>
      <c r="F47" s="21"/>
      <c r="G47" s="21"/>
      <c r="H47" s="22"/>
      <c r="I47" s="15"/>
      <c r="J47" s="15"/>
    </row>
    <row r="48" customFormat="false" ht="15" hidden="false" customHeight="false" outlineLevel="0" collapsed="false">
      <c r="A48" s="15"/>
      <c r="B48" s="15"/>
      <c r="C48" s="15"/>
      <c r="D48" s="15"/>
      <c r="E48" s="15"/>
      <c r="F48" s="21"/>
      <c r="G48" s="21"/>
      <c r="H48" s="22"/>
      <c r="I48" s="15"/>
      <c r="J48" s="15"/>
    </row>
    <row r="49" customFormat="false" ht="15" hidden="false" customHeight="false" outlineLevel="0" collapsed="false">
      <c r="A49" s="15"/>
      <c r="B49" s="15"/>
      <c r="C49" s="15"/>
      <c r="D49" s="15"/>
      <c r="E49" s="15"/>
      <c r="F49" s="21"/>
      <c r="G49" s="21"/>
      <c r="H49" s="22"/>
      <c r="I49" s="15"/>
      <c r="J49" s="15"/>
    </row>
    <row r="50" customFormat="false" ht="15" hidden="false" customHeight="false" outlineLevel="0" collapsed="false">
      <c r="A50" s="15"/>
      <c r="B50" s="15"/>
      <c r="C50" s="15"/>
      <c r="D50" s="15"/>
      <c r="E50" s="15"/>
      <c r="F50" s="21"/>
      <c r="G50" s="21"/>
      <c r="H50" s="22"/>
      <c r="I50" s="15"/>
      <c r="J50" s="15"/>
    </row>
  </sheetData>
  <conditionalFormatting sqref="I2:I500">
    <cfRule type="expression" priority="2" aboveAverage="0" equalAverage="0" bottom="0" percent="0" rank="0" text="" dxfId="29">
      <formula>EXACT($I2,"Active")</formula>
    </cfRule>
    <cfRule type="expression" priority="3" aboveAverage="0" equalAverage="0" bottom="0" percent="0" rank="0" text="" dxfId="30">
      <formula>EXACT($I2,"Retired")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false"/>
  </sheetPr>
  <dimension ref="A1:N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3" min="2" style="0" width="15"/>
    <col collapsed="false" customWidth="true" hidden="false" outlineLevel="0" max="5" min="4" style="0" width="22"/>
    <col collapsed="false" customWidth="true" hidden="false" outlineLevel="0" max="6" min="6" style="0" width="24"/>
    <col collapsed="false" customWidth="true" hidden="false" outlineLevel="0" max="8" min="7" style="0" width="12"/>
    <col collapsed="false" customWidth="true" hidden="false" outlineLevel="0" max="9" min="9" style="0" width="13"/>
    <col collapsed="false" customWidth="true" hidden="false" outlineLevel="0" max="11" min="10" style="0" width="14"/>
    <col collapsed="false" customWidth="true" hidden="false" outlineLevel="0" max="12" min="12" style="0" width="22"/>
    <col collapsed="false" customWidth="true" hidden="false" outlineLevel="0" max="13" min="13" style="0" width="11"/>
    <col collapsed="false" customWidth="true" hidden="false" outlineLevel="0" max="14" min="14" style="0" width="24"/>
  </cols>
  <sheetData>
    <row r="1" customFormat="false" ht="27.75" hidden="false" customHeight="true" outlineLevel="0" collapsed="false">
      <c r="A1" s="12" t="s">
        <v>166</v>
      </c>
      <c r="B1" s="12" t="s">
        <v>6</v>
      </c>
      <c r="C1" s="12" t="s">
        <v>167</v>
      </c>
      <c r="D1" s="12" t="s">
        <v>8</v>
      </c>
      <c r="E1" s="12" t="s">
        <v>15</v>
      </c>
      <c r="F1" s="12" t="s">
        <v>16</v>
      </c>
      <c r="G1" s="12" t="s">
        <v>63</v>
      </c>
      <c r="H1" s="12" t="s">
        <v>64</v>
      </c>
      <c r="I1" s="12" t="s">
        <v>168</v>
      </c>
      <c r="J1" s="12" t="s">
        <v>169</v>
      </c>
      <c r="K1" s="12" t="s">
        <v>10</v>
      </c>
      <c r="L1" s="12" t="s">
        <v>170</v>
      </c>
      <c r="M1" s="12" t="s">
        <v>171</v>
      </c>
      <c r="N1" s="12" t="s">
        <v>30</v>
      </c>
    </row>
    <row r="2" customFormat="false" ht="15" hidden="false" customHeight="false" outlineLevel="0" collapsed="false">
      <c r="A2" s="21" t="n">
        <v>46063</v>
      </c>
      <c r="B2" s="15" t="s">
        <v>172</v>
      </c>
      <c r="C2" s="15" t="s">
        <v>173</v>
      </c>
      <c r="D2" s="15" t="s">
        <v>34</v>
      </c>
      <c r="E2" s="15" t="s">
        <v>159</v>
      </c>
      <c r="F2" s="15" t="s">
        <v>36</v>
      </c>
      <c r="G2" s="15" t="s">
        <v>158</v>
      </c>
      <c r="H2" s="22" t="n">
        <v>10000</v>
      </c>
      <c r="I2" s="23" t="n">
        <v>1.85</v>
      </c>
      <c r="J2" s="23" t="n">
        <f aca="false">H2*I2</f>
        <v>18500</v>
      </c>
      <c r="K2" s="15" t="s">
        <v>174</v>
      </c>
      <c r="L2" s="15" t="s">
        <v>175</v>
      </c>
      <c r="M2" s="15" t="s">
        <v>56</v>
      </c>
      <c r="N2" s="15"/>
    </row>
    <row r="3" customFormat="false" ht="15" hidden="false" customHeight="false" outlineLevel="0" collapsed="false">
      <c r="A3" s="21" t="n">
        <v>46044</v>
      </c>
      <c r="B3" s="15" t="s">
        <v>176</v>
      </c>
      <c r="C3" s="15" t="s">
        <v>173</v>
      </c>
      <c r="D3" s="15" t="s">
        <v>41</v>
      </c>
      <c r="E3" s="15" t="s">
        <v>75</v>
      </c>
      <c r="F3" s="15" t="s">
        <v>43</v>
      </c>
      <c r="G3" s="15" t="s">
        <v>79</v>
      </c>
      <c r="H3" s="22" t="n">
        <v>5000</v>
      </c>
      <c r="I3" s="23" t="n">
        <v>3.2</v>
      </c>
      <c r="J3" s="23" t="n">
        <f aca="false">H3*I3</f>
        <v>16000</v>
      </c>
      <c r="K3" s="15" t="s">
        <v>177</v>
      </c>
      <c r="L3" s="15" t="s">
        <v>178</v>
      </c>
      <c r="M3" s="15" t="s">
        <v>179</v>
      </c>
      <c r="N3" s="15"/>
    </row>
    <row r="4" customFormat="false" ht="23.85" hidden="false" customHeight="false" outlineLevel="0" collapsed="false">
      <c r="A4" s="21" t="n">
        <v>46117</v>
      </c>
      <c r="B4" s="15" t="s">
        <v>180</v>
      </c>
      <c r="C4" s="15" t="s">
        <v>173</v>
      </c>
      <c r="D4" s="15" t="s">
        <v>66</v>
      </c>
      <c r="E4" s="15" t="s">
        <v>67</v>
      </c>
      <c r="F4" s="15" t="s">
        <v>68</v>
      </c>
      <c r="G4" s="15" t="s">
        <v>73</v>
      </c>
      <c r="H4" s="22" t="n">
        <v>50000</v>
      </c>
      <c r="I4" s="23" t="n">
        <v>0.42</v>
      </c>
      <c r="J4" s="23" t="n">
        <f aca="false">H4*I4</f>
        <v>21000</v>
      </c>
      <c r="K4" s="15" t="s">
        <v>181</v>
      </c>
      <c r="L4" s="15" t="s">
        <v>182</v>
      </c>
      <c r="M4" s="15" t="s">
        <v>183</v>
      </c>
      <c r="N4" s="15" t="s">
        <v>184</v>
      </c>
    </row>
    <row r="5" customFormat="false" ht="15" hidden="false" customHeight="false" outlineLevel="0" collapsed="false">
      <c r="A5" s="21" t="n">
        <v>46115</v>
      </c>
      <c r="B5" s="15" t="s">
        <v>48</v>
      </c>
      <c r="C5" s="15" t="s">
        <v>185</v>
      </c>
      <c r="D5" s="15" t="s">
        <v>49</v>
      </c>
      <c r="E5" s="15" t="s">
        <v>50</v>
      </c>
      <c r="F5" s="15" t="s">
        <v>36</v>
      </c>
      <c r="G5" s="15" t="s">
        <v>186</v>
      </c>
      <c r="H5" s="22" t="n">
        <v>50</v>
      </c>
      <c r="I5" s="23" t="n">
        <v>0</v>
      </c>
      <c r="J5" s="23" t="n">
        <f aca="false">H5*I5</f>
        <v>0</v>
      </c>
      <c r="K5" s="15" t="s">
        <v>53</v>
      </c>
      <c r="L5" s="15" t="s">
        <v>57</v>
      </c>
      <c r="M5" s="15" t="s">
        <v>56</v>
      </c>
      <c r="N5" s="15" t="s">
        <v>187</v>
      </c>
    </row>
    <row r="6" customFormat="false" ht="15" hidden="false" customHeight="false" outlineLevel="0" collapsed="false">
      <c r="A6" s="21" t="n">
        <v>46130</v>
      </c>
      <c r="B6" s="15" t="s">
        <v>80</v>
      </c>
      <c r="C6" s="15" t="s">
        <v>188</v>
      </c>
      <c r="D6" s="15" t="s">
        <v>49</v>
      </c>
      <c r="E6" s="15" t="s">
        <v>81</v>
      </c>
      <c r="F6" s="15" t="s">
        <v>36</v>
      </c>
      <c r="G6" s="15" t="s">
        <v>86</v>
      </c>
      <c r="H6" s="22" t="n">
        <v>2500</v>
      </c>
      <c r="I6" s="23" t="n">
        <v>2.15</v>
      </c>
      <c r="J6" s="23" t="n">
        <f aca="false">H6*I6</f>
        <v>5375</v>
      </c>
      <c r="K6" s="15" t="s">
        <v>83</v>
      </c>
      <c r="L6" s="15" t="s">
        <v>189</v>
      </c>
      <c r="M6" s="15" t="s">
        <v>56</v>
      </c>
      <c r="N6" s="15" t="s">
        <v>190</v>
      </c>
    </row>
    <row r="7" customFormat="false" ht="15" hidden="false" customHeight="false" outlineLevel="0" collapsed="false">
      <c r="A7" s="21"/>
      <c r="B7" s="15"/>
      <c r="C7" s="15"/>
      <c r="D7" s="15"/>
      <c r="E7" s="15"/>
      <c r="F7" s="15"/>
      <c r="G7" s="15"/>
      <c r="H7" s="22"/>
      <c r="I7" s="23"/>
      <c r="J7" s="23" t="n">
        <f aca="false">IFERROR(H7*I7,"")</f>
        <v>0</v>
      </c>
      <c r="K7" s="15"/>
      <c r="L7" s="15"/>
      <c r="M7" s="15"/>
      <c r="N7" s="15"/>
    </row>
    <row r="8" customFormat="false" ht="15" hidden="false" customHeight="false" outlineLevel="0" collapsed="false">
      <c r="A8" s="21"/>
      <c r="B8" s="15"/>
      <c r="C8" s="15"/>
      <c r="D8" s="15"/>
      <c r="E8" s="15"/>
      <c r="F8" s="15"/>
      <c r="G8" s="15"/>
      <c r="H8" s="22"/>
      <c r="I8" s="23"/>
      <c r="J8" s="23" t="n">
        <f aca="false">IFERROR(H8*I8,"")</f>
        <v>0</v>
      </c>
      <c r="K8" s="15"/>
      <c r="L8" s="15"/>
      <c r="M8" s="15"/>
      <c r="N8" s="15"/>
    </row>
    <row r="9" customFormat="false" ht="15" hidden="false" customHeight="false" outlineLevel="0" collapsed="false">
      <c r="A9" s="21"/>
      <c r="B9" s="15"/>
      <c r="C9" s="15"/>
      <c r="D9" s="15"/>
      <c r="E9" s="15"/>
      <c r="F9" s="15"/>
      <c r="G9" s="15"/>
      <c r="H9" s="22"/>
      <c r="I9" s="23"/>
      <c r="J9" s="23" t="n">
        <f aca="false">IFERROR(H9*I9,"")</f>
        <v>0</v>
      </c>
      <c r="K9" s="15"/>
      <c r="L9" s="15"/>
      <c r="M9" s="15"/>
      <c r="N9" s="15"/>
    </row>
    <row r="10" customFormat="false" ht="15" hidden="false" customHeight="false" outlineLevel="0" collapsed="false">
      <c r="A10" s="21"/>
      <c r="B10" s="15"/>
      <c r="C10" s="15"/>
      <c r="D10" s="15"/>
      <c r="E10" s="15"/>
      <c r="F10" s="15"/>
      <c r="G10" s="15"/>
      <c r="H10" s="22"/>
      <c r="I10" s="23"/>
      <c r="J10" s="23" t="n">
        <f aca="false">IFERROR(H10*I10,"")</f>
        <v>0</v>
      </c>
      <c r="K10" s="15"/>
      <c r="L10" s="15"/>
      <c r="M10" s="15"/>
      <c r="N10" s="15"/>
    </row>
    <row r="11" customFormat="false" ht="15" hidden="false" customHeight="false" outlineLevel="0" collapsed="false">
      <c r="A11" s="21"/>
      <c r="B11" s="15"/>
      <c r="C11" s="15"/>
      <c r="D11" s="15"/>
      <c r="E11" s="15"/>
      <c r="F11" s="15"/>
      <c r="G11" s="15"/>
      <c r="H11" s="22"/>
      <c r="I11" s="23"/>
      <c r="J11" s="23" t="n">
        <f aca="false">IFERROR(H11*I11,"")</f>
        <v>0</v>
      </c>
      <c r="K11" s="15"/>
      <c r="L11" s="15"/>
      <c r="M11" s="15"/>
      <c r="N11" s="15"/>
    </row>
    <row r="12" customFormat="false" ht="15" hidden="false" customHeight="false" outlineLevel="0" collapsed="false">
      <c r="A12" s="21"/>
      <c r="B12" s="15"/>
      <c r="C12" s="15"/>
      <c r="D12" s="15"/>
      <c r="E12" s="15"/>
      <c r="F12" s="15"/>
      <c r="G12" s="15"/>
      <c r="H12" s="22"/>
      <c r="I12" s="23"/>
      <c r="J12" s="23" t="n">
        <f aca="false">IFERROR(H12*I12,"")</f>
        <v>0</v>
      </c>
      <c r="K12" s="15"/>
      <c r="L12" s="15"/>
      <c r="M12" s="15"/>
      <c r="N12" s="15"/>
    </row>
    <row r="13" customFormat="false" ht="15" hidden="false" customHeight="false" outlineLevel="0" collapsed="false">
      <c r="A13" s="21"/>
      <c r="B13" s="15"/>
      <c r="C13" s="15"/>
      <c r="D13" s="15"/>
      <c r="E13" s="15"/>
      <c r="F13" s="15"/>
      <c r="G13" s="15"/>
      <c r="H13" s="22"/>
      <c r="I13" s="23"/>
      <c r="J13" s="23" t="n">
        <f aca="false">IFERROR(H13*I13,"")</f>
        <v>0</v>
      </c>
      <c r="K13" s="15"/>
      <c r="L13" s="15"/>
      <c r="M13" s="15"/>
      <c r="N13" s="15"/>
    </row>
    <row r="14" customFormat="false" ht="15" hidden="false" customHeight="false" outlineLevel="0" collapsed="false">
      <c r="A14" s="21"/>
      <c r="B14" s="15"/>
      <c r="C14" s="15"/>
      <c r="D14" s="15"/>
      <c r="E14" s="15"/>
      <c r="F14" s="15"/>
      <c r="G14" s="15"/>
      <c r="H14" s="22"/>
      <c r="I14" s="23"/>
      <c r="J14" s="23" t="n">
        <f aca="false">IFERROR(H14*I14,"")</f>
        <v>0</v>
      </c>
      <c r="K14" s="15"/>
      <c r="L14" s="15"/>
      <c r="M14" s="15"/>
      <c r="N14" s="15"/>
    </row>
    <row r="15" customFormat="false" ht="15" hidden="false" customHeight="false" outlineLevel="0" collapsed="false">
      <c r="A15" s="21"/>
      <c r="B15" s="15"/>
      <c r="C15" s="15"/>
      <c r="D15" s="15"/>
      <c r="E15" s="15"/>
      <c r="F15" s="15"/>
      <c r="G15" s="15"/>
      <c r="H15" s="22"/>
      <c r="I15" s="23"/>
      <c r="J15" s="23" t="n">
        <f aca="false">IFERROR(H15*I15,"")</f>
        <v>0</v>
      </c>
      <c r="K15" s="15"/>
      <c r="L15" s="15"/>
      <c r="M15" s="15"/>
      <c r="N15" s="15"/>
    </row>
    <row r="16" customFormat="false" ht="15" hidden="false" customHeight="false" outlineLevel="0" collapsed="false">
      <c r="A16" s="21"/>
      <c r="B16" s="15"/>
      <c r="C16" s="15"/>
      <c r="D16" s="15"/>
      <c r="E16" s="15"/>
      <c r="F16" s="15"/>
      <c r="G16" s="15"/>
      <c r="H16" s="22"/>
      <c r="I16" s="23"/>
      <c r="J16" s="23" t="n">
        <f aca="false">IFERROR(H16*I16,"")</f>
        <v>0</v>
      </c>
      <c r="K16" s="15"/>
      <c r="L16" s="15"/>
      <c r="M16" s="15"/>
      <c r="N16" s="15"/>
    </row>
    <row r="17" customFormat="false" ht="15" hidden="false" customHeight="false" outlineLevel="0" collapsed="false">
      <c r="A17" s="21"/>
      <c r="B17" s="15"/>
      <c r="C17" s="15"/>
      <c r="D17" s="15"/>
      <c r="E17" s="15"/>
      <c r="F17" s="15"/>
      <c r="G17" s="15"/>
      <c r="H17" s="22"/>
      <c r="I17" s="23"/>
      <c r="J17" s="23" t="n">
        <f aca="false">IFERROR(H17*I17,"")</f>
        <v>0</v>
      </c>
      <c r="K17" s="15"/>
      <c r="L17" s="15"/>
      <c r="M17" s="15"/>
      <c r="N17" s="15"/>
    </row>
    <row r="18" customFormat="false" ht="15" hidden="false" customHeight="false" outlineLevel="0" collapsed="false">
      <c r="A18" s="21"/>
      <c r="B18" s="15"/>
      <c r="C18" s="15"/>
      <c r="D18" s="15"/>
      <c r="E18" s="15"/>
      <c r="F18" s="15"/>
      <c r="G18" s="15"/>
      <c r="H18" s="22"/>
      <c r="I18" s="23"/>
      <c r="J18" s="23" t="n">
        <f aca="false">IFERROR(H18*I18,"")</f>
        <v>0</v>
      </c>
      <c r="K18" s="15"/>
      <c r="L18" s="15"/>
      <c r="M18" s="15"/>
      <c r="N18" s="15"/>
    </row>
    <row r="19" customFormat="false" ht="15" hidden="false" customHeight="false" outlineLevel="0" collapsed="false">
      <c r="A19" s="21"/>
      <c r="B19" s="15"/>
      <c r="C19" s="15"/>
      <c r="D19" s="15"/>
      <c r="E19" s="15"/>
      <c r="F19" s="15"/>
      <c r="G19" s="15"/>
      <c r="H19" s="22"/>
      <c r="I19" s="23"/>
      <c r="J19" s="23" t="n">
        <f aca="false">IFERROR(H19*I19,"")</f>
        <v>0</v>
      </c>
      <c r="K19" s="15"/>
      <c r="L19" s="15"/>
      <c r="M19" s="15"/>
      <c r="N19" s="15"/>
    </row>
    <row r="20" customFormat="false" ht="15" hidden="false" customHeight="false" outlineLevel="0" collapsed="false">
      <c r="A20" s="21"/>
      <c r="B20" s="15"/>
      <c r="C20" s="15"/>
      <c r="D20" s="15"/>
      <c r="E20" s="15"/>
      <c r="F20" s="15"/>
      <c r="G20" s="15"/>
      <c r="H20" s="22"/>
      <c r="I20" s="23"/>
      <c r="J20" s="23" t="n">
        <f aca="false">IFERROR(H20*I20,"")</f>
        <v>0</v>
      </c>
      <c r="K20" s="15"/>
      <c r="L20" s="15"/>
      <c r="M20" s="15"/>
      <c r="N20" s="15"/>
    </row>
    <row r="21" customFormat="false" ht="15" hidden="false" customHeight="false" outlineLevel="0" collapsed="false">
      <c r="A21" s="21"/>
      <c r="B21" s="15"/>
      <c r="C21" s="15"/>
      <c r="D21" s="15"/>
      <c r="E21" s="15"/>
      <c r="F21" s="15"/>
      <c r="G21" s="15"/>
      <c r="H21" s="22"/>
      <c r="I21" s="23"/>
      <c r="J21" s="23" t="n">
        <f aca="false">IFERROR(H21*I21,"")</f>
        <v>0</v>
      </c>
      <c r="K21" s="15"/>
      <c r="L21" s="15"/>
      <c r="M21" s="15"/>
      <c r="N21" s="15"/>
    </row>
    <row r="22" customFormat="false" ht="15" hidden="false" customHeight="false" outlineLevel="0" collapsed="false">
      <c r="A22" s="21"/>
      <c r="B22" s="15"/>
      <c r="C22" s="15"/>
      <c r="D22" s="15"/>
      <c r="E22" s="15"/>
      <c r="F22" s="15"/>
      <c r="G22" s="15"/>
      <c r="H22" s="22"/>
      <c r="I22" s="23"/>
      <c r="J22" s="23" t="n">
        <f aca="false">IFERROR(H22*I22,"")</f>
        <v>0</v>
      </c>
      <c r="K22" s="15"/>
      <c r="L22" s="15"/>
      <c r="M22" s="15"/>
      <c r="N22" s="15"/>
    </row>
    <row r="23" customFormat="false" ht="15" hidden="false" customHeight="false" outlineLevel="0" collapsed="false">
      <c r="A23" s="21"/>
      <c r="B23" s="15"/>
      <c r="C23" s="15"/>
      <c r="D23" s="15"/>
      <c r="E23" s="15"/>
      <c r="F23" s="15"/>
      <c r="G23" s="15"/>
      <c r="H23" s="22"/>
      <c r="I23" s="23"/>
      <c r="J23" s="23" t="n">
        <f aca="false">IFERROR(H23*I23,"")</f>
        <v>0</v>
      </c>
      <c r="K23" s="15"/>
      <c r="L23" s="15"/>
      <c r="M23" s="15"/>
      <c r="N23" s="15"/>
    </row>
    <row r="24" customFormat="false" ht="15" hidden="false" customHeight="false" outlineLevel="0" collapsed="false">
      <c r="A24" s="21"/>
      <c r="B24" s="15"/>
      <c r="C24" s="15"/>
      <c r="D24" s="15"/>
      <c r="E24" s="15"/>
      <c r="F24" s="15"/>
      <c r="G24" s="15"/>
      <c r="H24" s="22"/>
      <c r="I24" s="23"/>
      <c r="J24" s="23" t="n">
        <f aca="false">IFERROR(H24*I24,"")</f>
        <v>0</v>
      </c>
      <c r="K24" s="15"/>
      <c r="L24" s="15"/>
      <c r="M24" s="15"/>
      <c r="N24" s="15"/>
    </row>
    <row r="25" customFormat="false" ht="15" hidden="false" customHeight="false" outlineLevel="0" collapsed="false">
      <c r="A25" s="21"/>
      <c r="B25" s="15"/>
      <c r="C25" s="15"/>
      <c r="D25" s="15"/>
      <c r="E25" s="15"/>
      <c r="F25" s="15"/>
      <c r="G25" s="15"/>
      <c r="H25" s="22"/>
      <c r="I25" s="23"/>
      <c r="J25" s="23" t="n">
        <f aca="false">IFERROR(H25*I25,"")</f>
        <v>0</v>
      </c>
      <c r="K25" s="15"/>
      <c r="L25" s="15"/>
      <c r="M25" s="15"/>
      <c r="N25" s="15"/>
    </row>
    <row r="26" customFormat="false" ht="15" hidden="false" customHeight="false" outlineLevel="0" collapsed="false">
      <c r="A26" s="21"/>
      <c r="B26" s="15"/>
      <c r="C26" s="15"/>
      <c r="D26" s="15"/>
      <c r="E26" s="15"/>
      <c r="F26" s="15"/>
      <c r="G26" s="15"/>
      <c r="H26" s="22"/>
      <c r="I26" s="23"/>
      <c r="J26" s="23" t="n">
        <f aca="false">IFERROR(H26*I26,"")</f>
        <v>0</v>
      </c>
      <c r="K26" s="15"/>
      <c r="L26" s="15"/>
      <c r="M26" s="15"/>
      <c r="N26" s="15"/>
    </row>
    <row r="27" customFormat="false" ht="15" hidden="false" customHeight="false" outlineLevel="0" collapsed="false">
      <c r="A27" s="21"/>
      <c r="B27" s="15"/>
      <c r="C27" s="15"/>
      <c r="D27" s="15"/>
      <c r="E27" s="15"/>
      <c r="F27" s="15"/>
      <c r="G27" s="15"/>
      <c r="H27" s="22"/>
      <c r="I27" s="23"/>
      <c r="J27" s="23" t="n">
        <f aca="false">IFERROR(H27*I27,"")</f>
        <v>0</v>
      </c>
      <c r="K27" s="15"/>
      <c r="L27" s="15"/>
      <c r="M27" s="15"/>
      <c r="N27" s="15"/>
    </row>
    <row r="28" customFormat="false" ht="15" hidden="false" customHeight="false" outlineLevel="0" collapsed="false">
      <c r="A28" s="21"/>
      <c r="B28" s="15"/>
      <c r="C28" s="15"/>
      <c r="D28" s="15"/>
      <c r="E28" s="15"/>
      <c r="F28" s="15"/>
      <c r="G28" s="15"/>
      <c r="H28" s="22"/>
      <c r="I28" s="23"/>
      <c r="J28" s="23" t="n">
        <f aca="false">IFERROR(H28*I28,"")</f>
        <v>0</v>
      </c>
      <c r="K28" s="15"/>
      <c r="L28" s="15"/>
      <c r="M28" s="15"/>
      <c r="N28" s="15"/>
    </row>
    <row r="29" customFormat="false" ht="15" hidden="false" customHeight="false" outlineLevel="0" collapsed="false">
      <c r="A29" s="21"/>
      <c r="B29" s="15"/>
      <c r="C29" s="15"/>
      <c r="D29" s="15"/>
      <c r="E29" s="15"/>
      <c r="F29" s="15"/>
      <c r="G29" s="15"/>
      <c r="H29" s="22"/>
      <c r="I29" s="23"/>
      <c r="J29" s="23" t="n">
        <f aca="false">IFERROR(H29*I29,"")</f>
        <v>0</v>
      </c>
      <c r="K29" s="15"/>
      <c r="L29" s="15"/>
      <c r="M29" s="15"/>
      <c r="N29" s="15"/>
    </row>
    <row r="30" customFormat="false" ht="15" hidden="false" customHeight="false" outlineLevel="0" collapsed="false">
      <c r="A30" s="21"/>
      <c r="B30" s="15"/>
      <c r="C30" s="15"/>
      <c r="D30" s="15"/>
      <c r="E30" s="15"/>
      <c r="F30" s="15"/>
      <c r="G30" s="15"/>
      <c r="H30" s="22"/>
      <c r="I30" s="23"/>
      <c r="J30" s="23" t="n">
        <f aca="false">IFERROR(H30*I30,"")</f>
        <v>0</v>
      </c>
      <c r="K30" s="15"/>
      <c r="L30" s="15"/>
      <c r="M30" s="15"/>
      <c r="N30" s="15"/>
    </row>
    <row r="31" customFormat="false" ht="15" hidden="false" customHeight="false" outlineLevel="0" collapsed="false">
      <c r="A31" s="21"/>
      <c r="B31" s="15"/>
      <c r="C31" s="15"/>
      <c r="D31" s="15"/>
      <c r="E31" s="15"/>
      <c r="F31" s="15"/>
      <c r="G31" s="15"/>
      <c r="H31" s="22"/>
      <c r="I31" s="23"/>
      <c r="J31" s="23" t="n">
        <f aca="false">IFERROR(H31*I31,"")</f>
        <v>0</v>
      </c>
      <c r="K31" s="15"/>
      <c r="L31" s="15"/>
      <c r="M31" s="15"/>
      <c r="N31" s="15"/>
    </row>
    <row r="32" customFormat="false" ht="15" hidden="false" customHeight="false" outlineLevel="0" collapsed="false">
      <c r="A32" s="21"/>
      <c r="B32" s="15"/>
      <c r="C32" s="15"/>
      <c r="D32" s="15"/>
      <c r="E32" s="15"/>
      <c r="F32" s="15"/>
      <c r="G32" s="15"/>
      <c r="H32" s="22"/>
      <c r="I32" s="23"/>
      <c r="J32" s="23" t="n">
        <f aca="false">IFERROR(H32*I32,"")</f>
        <v>0</v>
      </c>
      <c r="K32" s="15"/>
      <c r="L32" s="15"/>
      <c r="M32" s="15"/>
      <c r="N32" s="15"/>
    </row>
    <row r="33" customFormat="false" ht="15" hidden="false" customHeight="false" outlineLevel="0" collapsed="false">
      <c r="A33" s="21"/>
      <c r="B33" s="15"/>
      <c r="C33" s="15"/>
      <c r="D33" s="15"/>
      <c r="E33" s="15"/>
      <c r="F33" s="15"/>
      <c r="G33" s="15"/>
      <c r="H33" s="22"/>
      <c r="I33" s="23"/>
      <c r="J33" s="23" t="n">
        <f aca="false">IFERROR(H33*I33,"")</f>
        <v>0</v>
      </c>
      <c r="K33" s="15"/>
      <c r="L33" s="15"/>
      <c r="M33" s="15"/>
      <c r="N33" s="15"/>
    </row>
    <row r="34" customFormat="false" ht="15" hidden="false" customHeight="false" outlineLevel="0" collapsed="false">
      <c r="A34" s="21"/>
      <c r="B34" s="15"/>
      <c r="C34" s="15"/>
      <c r="D34" s="15"/>
      <c r="E34" s="15"/>
      <c r="F34" s="15"/>
      <c r="G34" s="15"/>
      <c r="H34" s="22"/>
      <c r="I34" s="23"/>
      <c r="J34" s="23" t="n">
        <f aca="false">IFERROR(H34*I34,"")</f>
        <v>0</v>
      </c>
      <c r="K34" s="15"/>
      <c r="L34" s="15"/>
      <c r="M34" s="15"/>
      <c r="N34" s="15"/>
    </row>
    <row r="35" customFormat="false" ht="15" hidden="false" customHeight="false" outlineLevel="0" collapsed="false">
      <c r="A35" s="21"/>
      <c r="B35" s="15"/>
      <c r="C35" s="15"/>
      <c r="D35" s="15"/>
      <c r="E35" s="15"/>
      <c r="F35" s="15"/>
      <c r="G35" s="15"/>
      <c r="H35" s="22"/>
      <c r="I35" s="23"/>
      <c r="J35" s="23" t="n">
        <f aca="false">IFERROR(H35*I35,"")</f>
        <v>0</v>
      </c>
      <c r="K35" s="15"/>
      <c r="L35" s="15"/>
      <c r="M35" s="15"/>
      <c r="N35" s="15"/>
    </row>
    <row r="36" customFormat="false" ht="15" hidden="false" customHeight="false" outlineLevel="0" collapsed="false">
      <c r="A36" s="21"/>
      <c r="B36" s="15"/>
      <c r="C36" s="15"/>
      <c r="D36" s="15"/>
      <c r="E36" s="15"/>
      <c r="F36" s="15"/>
      <c r="G36" s="15"/>
      <c r="H36" s="22"/>
      <c r="I36" s="23"/>
      <c r="J36" s="23" t="n">
        <f aca="false">IFERROR(H36*I36,"")</f>
        <v>0</v>
      </c>
      <c r="K36" s="15"/>
      <c r="L36" s="15"/>
      <c r="M36" s="15"/>
      <c r="N36" s="15"/>
    </row>
    <row r="37" customFormat="false" ht="15" hidden="false" customHeight="false" outlineLevel="0" collapsed="false">
      <c r="A37" s="21"/>
      <c r="B37" s="15"/>
      <c r="C37" s="15"/>
      <c r="D37" s="15"/>
      <c r="E37" s="15"/>
      <c r="F37" s="15"/>
      <c r="G37" s="15"/>
      <c r="H37" s="22"/>
      <c r="I37" s="23"/>
      <c r="J37" s="23" t="n">
        <f aca="false">IFERROR(H37*I37,"")</f>
        <v>0</v>
      </c>
      <c r="K37" s="15"/>
      <c r="L37" s="15"/>
      <c r="M37" s="15"/>
      <c r="N37" s="15"/>
    </row>
    <row r="38" customFormat="false" ht="15" hidden="false" customHeight="false" outlineLevel="0" collapsed="false">
      <c r="A38" s="21"/>
      <c r="B38" s="15"/>
      <c r="C38" s="15"/>
      <c r="D38" s="15"/>
      <c r="E38" s="15"/>
      <c r="F38" s="15"/>
      <c r="G38" s="15"/>
      <c r="H38" s="22"/>
      <c r="I38" s="23"/>
      <c r="J38" s="23" t="n">
        <f aca="false">IFERROR(H38*I38,"")</f>
        <v>0</v>
      </c>
      <c r="K38" s="15"/>
      <c r="L38" s="15"/>
      <c r="M38" s="15"/>
      <c r="N38" s="15"/>
    </row>
    <row r="39" customFormat="false" ht="15" hidden="false" customHeight="false" outlineLevel="0" collapsed="false">
      <c r="A39" s="21"/>
      <c r="B39" s="15"/>
      <c r="C39" s="15"/>
      <c r="D39" s="15"/>
      <c r="E39" s="15"/>
      <c r="F39" s="15"/>
      <c r="G39" s="15"/>
      <c r="H39" s="22"/>
      <c r="I39" s="23"/>
      <c r="J39" s="23" t="n">
        <f aca="false">IFERROR(H39*I39,"")</f>
        <v>0</v>
      </c>
      <c r="K39" s="15"/>
      <c r="L39" s="15"/>
      <c r="M39" s="15"/>
      <c r="N39" s="15"/>
    </row>
    <row r="40" customFormat="false" ht="15" hidden="false" customHeight="false" outlineLevel="0" collapsed="false">
      <c r="A40" s="21"/>
      <c r="B40" s="15"/>
      <c r="C40" s="15"/>
      <c r="D40" s="15"/>
      <c r="E40" s="15"/>
      <c r="F40" s="15"/>
      <c r="G40" s="15"/>
      <c r="H40" s="22"/>
      <c r="I40" s="23"/>
      <c r="J40" s="23" t="n">
        <f aca="false">IFERROR(H40*I40,"")</f>
        <v>0</v>
      </c>
      <c r="K40" s="15"/>
      <c r="L40" s="15"/>
      <c r="M40" s="15"/>
      <c r="N40" s="15"/>
    </row>
    <row r="41" customFormat="false" ht="15" hidden="false" customHeight="false" outlineLevel="0" collapsed="false">
      <c r="A41" s="21"/>
      <c r="B41" s="15"/>
      <c r="C41" s="15"/>
      <c r="D41" s="15"/>
      <c r="E41" s="15"/>
      <c r="F41" s="15"/>
      <c r="G41" s="15"/>
      <c r="H41" s="22"/>
      <c r="I41" s="23"/>
      <c r="J41" s="23" t="n">
        <f aca="false">IFERROR(H41*I41,"")</f>
        <v>0</v>
      </c>
      <c r="K41" s="15"/>
      <c r="L41" s="15"/>
      <c r="M41" s="15"/>
      <c r="N41" s="15"/>
    </row>
    <row r="42" customFormat="false" ht="15" hidden="false" customHeight="false" outlineLevel="0" collapsed="false">
      <c r="A42" s="21"/>
      <c r="B42" s="15"/>
      <c r="C42" s="15"/>
      <c r="D42" s="15"/>
      <c r="E42" s="15"/>
      <c r="F42" s="15"/>
      <c r="G42" s="15"/>
      <c r="H42" s="22"/>
      <c r="I42" s="23"/>
      <c r="J42" s="23" t="n">
        <f aca="false">IFERROR(H42*I42,"")</f>
        <v>0</v>
      </c>
      <c r="K42" s="15"/>
      <c r="L42" s="15"/>
      <c r="M42" s="15"/>
      <c r="N42" s="15"/>
    </row>
    <row r="43" customFormat="false" ht="15" hidden="false" customHeight="false" outlineLevel="0" collapsed="false">
      <c r="A43" s="21"/>
      <c r="B43" s="15"/>
      <c r="C43" s="15"/>
      <c r="D43" s="15"/>
      <c r="E43" s="15"/>
      <c r="F43" s="15"/>
      <c r="G43" s="15"/>
      <c r="H43" s="22"/>
      <c r="I43" s="23"/>
      <c r="J43" s="23" t="n">
        <f aca="false">IFERROR(H43*I43,"")</f>
        <v>0</v>
      </c>
      <c r="K43" s="15"/>
      <c r="L43" s="15"/>
      <c r="M43" s="15"/>
      <c r="N43" s="15"/>
    </row>
    <row r="44" customFormat="false" ht="15" hidden="false" customHeight="false" outlineLevel="0" collapsed="false">
      <c r="A44" s="21"/>
      <c r="B44" s="15"/>
      <c r="C44" s="15"/>
      <c r="D44" s="15"/>
      <c r="E44" s="15"/>
      <c r="F44" s="15"/>
      <c r="G44" s="15"/>
      <c r="H44" s="22"/>
      <c r="I44" s="23"/>
      <c r="J44" s="23" t="n">
        <f aca="false">IFERROR(H44*I44,"")</f>
        <v>0</v>
      </c>
      <c r="K44" s="15"/>
      <c r="L44" s="15"/>
      <c r="M44" s="15"/>
      <c r="N44" s="15"/>
    </row>
    <row r="45" customFormat="false" ht="15" hidden="false" customHeight="false" outlineLevel="0" collapsed="false">
      <c r="A45" s="21"/>
      <c r="B45" s="15"/>
      <c r="C45" s="15"/>
      <c r="D45" s="15"/>
      <c r="E45" s="15"/>
      <c r="F45" s="15"/>
      <c r="G45" s="15"/>
      <c r="H45" s="22"/>
      <c r="I45" s="23"/>
      <c r="J45" s="23" t="n">
        <f aca="false">IFERROR(H45*I45,"")</f>
        <v>0</v>
      </c>
      <c r="K45" s="15"/>
      <c r="L45" s="15"/>
      <c r="M45" s="15"/>
      <c r="N45" s="15"/>
    </row>
    <row r="46" customFormat="false" ht="15" hidden="false" customHeight="false" outlineLevel="0" collapsed="false">
      <c r="A46" s="21"/>
      <c r="B46" s="15"/>
      <c r="C46" s="15"/>
      <c r="D46" s="15"/>
      <c r="E46" s="15"/>
      <c r="F46" s="15"/>
      <c r="G46" s="15"/>
      <c r="H46" s="22"/>
      <c r="I46" s="23"/>
      <c r="J46" s="23" t="n">
        <f aca="false">IFERROR(H46*I46,"")</f>
        <v>0</v>
      </c>
      <c r="K46" s="15"/>
      <c r="L46" s="15"/>
      <c r="M46" s="15"/>
      <c r="N46" s="15"/>
    </row>
    <row r="47" customFormat="false" ht="15" hidden="false" customHeight="false" outlineLevel="0" collapsed="false">
      <c r="A47" s="21"/>
      <c r="B47" s="15"/>
      <c r="C47" s="15"/>
      <c r="D47" s="15"/>
      <c r="E47" s="15"/>
      <c r="F47" s="15"/>
      <c r="G47" s="15"/>
      <c r="H47" s="22"/>
      <c r="I47" s="23"/>
      <c r="J47" s="23" t="n">
        <f aca="false">IFERROR(H47*I47,"")</f>
        <v>0</v>
      </c>
      <c r="K47" s="15"/>
      <c r="L47" s="15"/>
      <c r="M47" s="15"/>
      <c r="N47" s="15"/>
    </row>
    <row r="48" customFormat="false" ht="15" hidden="false" customHeight="false" outlineLevel="0" collapsed="false">
      <c r="A48" s="21"/>
      <c r="B48" s="15"/>
      <c r="C48" s="15"/>
      <c r="D48" s="15"/>
      <c r="E48" s="15"/>
      <c r="F48" s="15"/>
      <c r="G48" s="15"/>
      <c r="H48" s="22"/>
      <c r="I48" s="23"/>
      <c r="J48" s="23" t="n">
        <f aca="false">IFERROR(H48*I48,"")</f>
        <v>0</v>
      </c>
      <c r="K48" s="15"/>
      <c r="L48" s="15"/>
      <c r="M48" s="15"/>
      <c r="N48" s="15"/>
    </row>
    <row r="49" customFormat="false" ht="15" hidden="false" customHeight="false" outlineLevel="0" collapsed="false">
      <c r="A49" s="21"/>
      <c r="B49" s="15"/>
      <c r="C49" s="15"/>
      <c r="D49" s="15"/>
      <c r="E49" s="15"/>
      <c r="F49" s="15"/>
      <c r="G49" s="15"/>
      <c r="H49" s="22"/>
      <c r="I49" s="23"/>
      <c r="J49" s="23" t="n">
        <f aca="false">IFERROR(H49*I49,"")</f>
        <v>0</v>
      </c>
      <c r="K49" s="15"/>
      <c r="L49" s="15"/>
      <c r="M49" s="15"/>
      <c r="N49" s="15"/>
    </row>
    <row r="50" customFormat="false" ht="15" hidden="false" customHeight="false" outlineLevel="0" collapsed="false">
      <c r="A50" s="21"/>
      <c r="B50" s="15"/>
      <c r="C50" s="15"/>
      <c r="D50" s="15"/>
      <c r="E50" s="15"/>
      <c r="F50" s="15"/>
      <c r="G50" s="15"/>
      <c r="H50" s="22"/>
      <c r="I50" s="23"/>
      <c r="J50" s="23" t="n">
        <f aca="false">IFERROR(H50*I50,"")</f>
        <v>0</v>
      </c>
      <c r="K50" s="15"/>
      <c r="L50" s="15"/>
      <c r="M50" s="15"/>
      <c r="N50" s="15"/>
    </row>
  </sheetData>
  <dataValidations count="2">
    <dataValidation allowBlank="true" errorStyle="stop" operator="between" showDropDown="false" showErrorMessage="false" showInputMessage="false" sqref="M2:M500" type="list">
      <formula1>"UPS,FedEx,USPS,DHL,Freight (LTL),Customer Pickup"</formula1>
      <formula2>0</formula2>
    </dataValidation>
    <dataValidation allowBlank="true" errorStyle="stop" operator="between" showDropDown="false" showErrorMessage="false" showInputMessage="false" sqref="C2:C500" type="list">
      <formula1>"Sample / FAI,Production,Reorder"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2026-04-29T05:59:33Z</dcterms:created>
  <dc:creator>openpyxl</dc:creator>
  <dc:description/>
  <dc:language>en-US</dc:language>
  <cp:lastModifiedBy/>
  <dcterms:modified xsi:type="dcterms:W3CDTF">2026-04-29T05:59:33Z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